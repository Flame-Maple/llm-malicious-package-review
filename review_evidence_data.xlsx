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be7b0e046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9e495aa108474b8b"/>
    <x:sheet xmlns:r="http://schemas.openxmlformats.org/officeDocument/2006/relationships" name="Search_Strategy" sheetId="2" r:id="R9858e7f2e84d4504"/>
    <x:sheet xmlns:r="http://schemas.openxmlformats.org/officeDocument/2006/relationships" name="Selection_Records" sheetId="3" r:id="R98b2e4f6bfab40a5"/>
    <x:sheet xmlns:r="http://schemas.openxmlformats.org/officeDocument/2006/relationships" name="Selection_Flow" sheetId="4" r:id="R66e51ae5ed094aac"/>
    <x:sheet xmlns:r="http://schemas.openxmlformats.org/officeDocument/2006/relationships" name="Included_Studies" sheetId="5" r:id="Rd761f54ff2314a6f"/>
    <x:sheet xmlns:r="http://schemas.openxmlformats.org/officeDocument/2006/relationships" name="Evidence_Assessment" sheetId="6" r:id="Rb4b4e313fc5b440d"/>
    <x:sheet xmlns:r="http://schemas.openxmlformats.org/officeDocument/2006/relationships" name="Audit_Rubric" sheetId="7" r:id="R533e072addc44140"/>
    <x:sheet xmlns:r="http://schemas.openxmlformats.org/officeDocument/2006/relationships" name="Role_Codebook" sheetId="8" r:id="Rb800b5d0afa34408"/>
    <x:sheet xmlns:r="http://schemas.openxmlformats.org/officeDocument/2006/relationships" name="Claim_Evidence" sheetId="9" r:id="R40340c9fbd1f4887"/>
    <x:sheet xmlns:r="http://schemas.openxmlformats.org/officeDocument/2006/relationships" name="Sensitivity_Summary" sheetId="10" r:id="R2dbec79975594089"/>
  </x:sheets>
</x:workbook>
</file>

<file path=xl/sharedStrings.xml><?xml version="1.0" encoding="utf-8"?>
<sst xmlns="http://schemas.openxmlformats.org/spreadsheetml/2006/main" uniqueCount="1267">
  <si>
    <t xml:space="preserve">source_id</t>
  </si>
  <si>
    <t xml:space="preserve">source_category</t>
  </si>
  <si>
    <t xml:space="preserve">database_or_source</t>
  </si>
  <si>
    <t xml:space="preserve">platform</t>
  </si>
  <si>
    <t xml:space="preserve">search_fields</t>
  </si>
  <si>
    <t xml:space="preserve">exact_query_or_rule</t>
  </si>
  <si>
    <t xml:space="preserve">executed_date</t>
  </si>
  <si>
    <t xml:space="preserve">timezone</t>
  </si>
  <si>
    <t xml:space="preserve">eligibility_window</t>
  </si>
  <si>
    <t xml:space="preserve">displayed_hits</t>
  </si>
  <si>
    <t xml:space="preserve">records_screened</t>
  </si>
  <si>
    <t xml:space="preserve">records_exported_or_checked</t>
  </si>
  <si>
    <t xml:space="preserve">export_format</t>
  </si>
  <si>
    <t xml:space="preserve">execution_status</t>
  </si>
  <si>
    <t xml:space="preserve">DB01</t>
  </si>
  <si>
    <t xml:space="preserve">Bibliographic database</t>
  </si>
  <si>
    <t xml:space="preserve">Scopus</t>
  </si>
  <si>
    <t xml:space="preserve">TITLE-ABS-KEY</t>
  </si>
  <si>
    <t xml:space="preserve">TITLE-ABS-KEY(("malicious package*" OR "malware package*" OR (("software package*" OR "package registr*" OR "package repositor*" OR "package manager*" OR "package ecosystem*") W/3 (malicious OR malware OR "supply chain"))) AND ("large language model*" OR LLM OR GPT OR ChatGPT OR "generative AI" OR "retrieval augmented generation" OR RAG OR "LLM agent*" OR "multi-agent") AND (detect* OR analy* OR classif* OR audit* OR inspect* OR scan* OR triag*))</t>
  </si>
  <si>
    <t xml:space="preserve">Asia/Shanghai</t>
  </si>
  <si>
    <t xml:space="preserve">2022-01-01 to 2026-08-31</t>
  </si>
  <si>
    <t xml:space="preserve">RIS</t>
  </si>
  <si>
    <t xml:space="preserve">Completed</t>
  </si>
  <si>
    <t xml:space="preserve">DB02</t>
  </si>
  <si>
    <t xml:space="preserve">Web of Science Core Collection</t>
  </si>
  <si>
    <t xml:space="preserve">Web of Science</t>
  </si>
  <si>
    <t xml:space="preserve">Topic (TS)</t>
  </si>
  <si>
    <t xml:space="preserve">TS=(("malicious package*" OR "malware package*" OR (("software package*" OR "package registr*" OR "package repositor*" OR "package manager*" OR "package ecosystem*") NEAR/3 (malicious OR malware OR "supply chain"))) AND ("large language model*" OR LLM OR GPT OR ChatGPT OR "generative AI" OR "retrieval augmented generation" OR RAG OR "LLM agent*" OR "multi-agent") AND (detect* OR analy* OR classif* OR audit* OR inspect* OR scan* OR triag*))</t>
  </si>
  <si>
    <t xml:space="preserve">Plain text / BibTeX</t>
  </si>
  <si>
    <t xml:space="preserve">DB03</t>
  </si>
  <si>
    <t xml:space="preserve">IEEE Xplore</t>
  </si>
  <si>
    <t xml:space="preserve">All Metadata</t>
  </si>
  <si>
    <t xml:space="preserve">("All Metadata":"malicious package*" OR "All Metadata":"malware package*" OR (("All Metadata":"software package*" OR "All Metadata":"package registr*" OR "All Metadata":"package repositor*" OR "All Metadata":"package manager*" OR "All Metadata":"package ecosystem*") NEAR/3 ("All Metadata":malicious OR "All Metadata":malware OR "All Metadata":"supply chain"))) AND ("All Metadata":"large language model*" OR "All Metadata":LLM OR "All Metadata":LLMs OR "All Metadata":GPT OR "All Metadata":ChatGPT OR "All Metadata":"generative AI" OR "All Metadata":"retrieval augmented generation" OR "All Metadata":"retrieval-augmented generation" OR "All Metadata":RAG OR "All Metadata":"LLM agent*" OR "All Metadata":"multi-agent" OR "All Metadata":multiagent OR "All Metadata":"multi agent") AND ("All Metadata":detect OR "All Metadata":detection OR "All Metadata":analyze OR "All Metadata":analysis OR "All Metadata":classify OR "All Metadata":classification OR "All Metadata":audit OR "All Metadata":auditing OR "All Metadata":inspect OR "All Metadata":inspection OR "All Metadata":scan OR "All Metadata":scanning OR "All Metadata":triage)</t>
  </si>
  <si>
    <t xml:space="preserve">DB04</t>
  </si>
  <si>
    <t xml:space="preserve">ACM Digital Library</t>
  </si>
  <si>
    <t xml:space="preserve">ACM DL</t>
  </si>
  <si>
    <t xml:space="preserve">Title/Abstract/Keywords</t>
  </si>
  <si>
    <t xml:space="preserve">Title:(malicious OR malware) AND Title:(package OR packages OR npm OR PyPI) AND Abstract:("large language model" OR "large language models" OR LLM OR LLMs OR "LLM-based" OR "LLM-guided") AND Abstract:(detect OR detection OR detector OR classify OR classification OR identify OR identification OR validate OR validation OR inspect OR inspection)</t>
  </si>
  <si>
    <t xml:space="preserve">BibTeX</t>
  </si>
  <si>
    <t xml:space="preserve">DB05</t>
  </si>
  <si>
    <t xml:space="preserve">Preprint server</t>
  </si>
  <si>
    <t xml:space="preserve">arXiv</t>
  </si>
  <si>
    <t xml:space="preserve">Title + Abstract</t>
  </si>
  <si>
    <t xml:space="preserve">(ti:malicious OR ti:malware) AND (ti:package OR ti:packages OR ti:npm OR ti:PyPI) AND (abs:"large language model" OR abs:"large language models" OR abs:LLM OR abs:LLMs OR abs:"LLM-based" OR abs:"LLM-guided") AND (abs:detect OR abs:detection OR abs:detector OR abs:classify OR abs:classification OR abs:identify OR abs:identification OR abs:validate OR abs:validation OR abs:inspect OR abs:inspection)</t>
  </si>
  <si>
    <t xml:space="preserve">PRIOR01</t>
  </si>
  <si>
    <t xml:space="preserve">Other source</t>
  </si>
  <si>
    <t xml:space="preserve">Pre-revision manuscript seed set</t>
  </si>
  <si>
    <t xml:space="preserve">Author records</t>
  </si>
  <si>
    <t xml:space="preserve">Existing cited/identified records</t>
  </si>
  <si>
    <t xml:space="preserve">Twenty-two records already present in the manuscript/reviewer lead set before this audit.</t>
  </si>
  <si>
    <t xml:space="preserve">Workbook seed set</t>
  </si>
  <si>
    <t xml:space="preserve">GS01</t>
  </si>
  <si>
    <t xml:space="preserve">Web search</t>
  </si>
  <si>
    <t xml:space="preserve">Google Scholar</t>
  </si>
  <si>
    <t xml:space="preserve">Full record</t>
  </si>
  <si>
    <t xml:space="preserve">("malicious package" OR "package registry" OR "package manager") ("large language model" OR LLM OR GPT)</t>
  </si>
  <si>
    <t xml:space="preserve">GR01</t>
  </si>
  <si>
    <t xml:space="preserve">Targeted grey literature</t>
  </si>
  <si>
    <t xml:space="preserve">SSRN Silver Bullet</t>
  </si>
  <si>
    <t xml:space="preserve">SSRN</t>
  </si>
  <si>
    <t xml:space="preserve">Exact title / DOI</t>
  </si>
  <si>
    <t xml:space="preserve">"Are They a Silver Bullet? On the Ability of LLMs to Detect Malicious Code in PyPI Packages" OR 10.2139/ssrn.5220789</t>
  </si>
  <si>
    <t xml:space="preserve">Manual metadata log</t>
  </si>
  <si>
    <t xml:space="preserve">GR02</t>
  </si>
  <si>
    <t xml:space="preserve">IEICE ICSS2024-80</t>
  </si>
  <si>
    <t xml:space="preserve">IEICE Ken System</t>
  </si>
  <si>
    <t xml:space="preserve">Exact title / report number</t>
  </si>
  <si>
    <t xml:space="preserve">"Large-Scale Analysis of Malicious Packages on PyPI Using LLM Agents" OR ICSS2024-80</t>
  </si>
  <si>
    <t xml:space="preserve">GR03</t>
  </si>
  <si>
    <t xml:space="preserve">Doria MA-MPD thesis</t>
  </si>
  <si>
    <t xml:space="preserve">Doria</t>
  </si>
  <si>
    <t xml:space="preserve">Exact title / URN</t>
  </si>
  <si>
    <t xml:space="preserve">"Large Language Models based Multi-Agent Systems for Detecting Malicious PyPI Packages" OR URN:NBN:fi-fe2025080981964</t>
  </si>
  <si>
    <t xml:space="preserve">GR04</t>
  </si>
  <si>
    <t xml:space="preserve">SSRN Semantic Fusion</t>
  </si>
  <si>
    <t xml:space="preserve">"Decoding Maliciousness: A Scalable Framework for Malicious PyPI Package Detection via Multi-Source Semantic Fusion" OR 10.2139/ssrn.6727185</t>
  </si>
  <si>
    <t xml:space="preserve">CIT01</t>
  </si>
  <si>
    <t xml:space="preserve">Citation chasing</t>
  </si>
  <si>
    <t xml:space="preserve">Backward citations</t>
  </si>
  <si>
    <t xml:space="preserve">Reference lists</t>
  </si>
  <si>
    <t xml:space="preserve">References</t>
  </si>
  <si>
    <t xml:space="preserve">Reference-list extraction from each available anchor; retain only titles passing the package-ecosystem AND LLM/agent/RAG gate; reviewer confirmation; no recursion.</t>
  </si>
  <si>
    <t xml:space="preserve">Manual result log</t>
  </si>
  <si>
    <t xml:space="preserve">CIT02</t>
  </si>
  <si>
    <t xml:space="preserve">Forward citations</t>
  </si>
  <si>
    <t xml:space="preserve">Google Scholar Cited by</t>
  </si>
  <si>
    <t xml:space="preserve">Citing records</t>
  </si>
  <si>
    <t xml:space="preserve">For each of six anchors, inspect all results when displayed count is ≤10; otherwise inspect relevance-ranked results 1–10; no recursion.</t>
  </si>
  <si>
    <t xml:space="preserve">DB04-SENS</t>
  </si>
  <si>
    <t xml:space="preserve">Bibliographic database sensitivity search</t>
  </si>
  <si>
    <t xml:space="preserve">Anywhere</t>
  </si>
  <si>
    <t xml:space="preserve">Single ACM Digital Library advanced-search run: frozen blocks A, B, and C entered in three Anywhere rows joined by AND.</t>
  </si>
  <si>
    <t xml:space="preserve">DB05-SENS</t>
  </si>
  <si>
    <t xml:space="preserve">Preprint server sensitivity search</t>
  </si>
  <si>
    <t xml:space="preserve">All fields</t>
  </si>
  <si>
    <t xml:space="preserve">Single arXiv advanced-search run: frozen blocks A, B, and C entered in three All fields rows joined by AND.</t>
  </si>
  <si>
    <t xml:space="preserve">DB01-UPD</t>
  </si>
  <si>
    <t xml:space="preserve">Bibliographic database update search</t>
  </si>
  <si>
    <t xml:space="preserve">2026-07-31 to 2026-08-31</t>
  </si>
  <si>
    <t xml:space="preserve">No retained update record</t>
  </si>
  <si>
    <t xml:space="preserve">Completed; no new eligible record retained</t>
  </si>
  <si>
    <t xml:space="preserve">DB02-UPD</t>
  </si>
  <si>
    <t xml:space="preserve">Completed; 2 new eligible records retained</t>
  </si>
  <si>
    <t xml:space="preserve">DB03-UPD</t>
  </si>
  <si>
    <t xml:space="preserve">DB04-UPD</t>
  </si>
  <si>
    <t xml:space="preserve">DB05-UPD</t>
  </si>
  <si>
    <t xml:space="preserve">Preprint server update search</t>
  </si>
  <si>
    <t xml:space="preserve">Completed; 1 new eligible record retained</t>
  </si>
  <si>
    <t xml:space="preserve">record_id</t>
  </si>
  <si>
    <t xml:space="preserve">title</t>
  </si>
  <si>
    <t xml:space="preserve">year</t>
  </si>
  <si>
    <t xml:space="preserve">stable_identifier</t>
  </si>
  <si>
    <t xml:space="preserve">source_ids</t>
  </si>
  <si>
    <t xml:space="preserve">screening_stage</t>
  </si>
  <si>
    <t xml:space="preserve">package_ecosystem_scope</t>
  </si>
  <si>
    <t xml:space="preserve">malicious_package_task</t>
  </si>
  <si>
    <t xml:space="preserve">generative_llm_material</t>
  </si>
  <si>
    <t xml:space="preserve">empirical_method_results</t>
  </si>
  <si>
    <t xml:space="preserve">title_abstract_decision</t>
  </si>
  <si>
    <t xml:space="preserve">full_text_decision</t>
  </si>
  <si>
    <t xml:space="preserve">final_decision</t>
  </si>
  <si>
    <t xml:space="preserve">exclusion_code</t>
  </si>
  <si>
    <t xml:space="preserve">decision_basis</t>
  </si>
  <si>
    <t xml:space="preserve">decision_date</t>
  </si>
  <si>
    <t xml:space="preserve">R001</t>
  </si>
  <si>
    <t xml:space="preserve">Leveraging Large Language Models to Detect npm Malicious Packages</t>
  </si>
  <si>
    <t xml:space="preserve">https://doi.org/10.1109/ICSE55347.2025.00146; https://arxiv.org/abs/2403.12196</t>
  </si>
  <si>
    <t xml:space="preserve">PRIOR01; DB01; DB02; DB03; DB04; DB05; GS01</t>
  </si>
  <si>
    <t xml:space="preserve">Formal screening</t>
  </si>
  <si>
    <t xml:space="preserve">Yes</t>
  </si>
  <si>
    <t xml:space="preserve">Include</t>
  </si>
  <si>
    <t xml:space="preserve">All four record-level criteria and the full-text eligibility requirements were met.</t>
  </si>
  <si>
    <t xml:space="preserve">2026-07-24T00:00:00</t>
  </si>
  <si>
    <t xml:space="preserve">R002</t>
  </si>
  <si>
    <t xml:space="preserve">Evaluating LLM-Based Detection of Malicious Package Updates in npm</t>
  </si>
  <si>
    <t xml:space="preserve">https://doi.org/10.1109/RAID67961.2025.00047</t>
  </si>
  <si>
    <t xml:space="preserve">PRIOR01; DB01; DB02; DB03; GS01</t>
  </si>
  <si>
    <t xml:space="preserve">R003</t>
  </si>
  <si>
    <t xml:space="preserve">An Evaluation of Large Language Models for Detection of Malicious Python Packages</t>
  </si>
  <si>
    <t xml:space="preserve">https://arxiv.org/abs/2602.16304</t>
  </si>
  <si>
    <t xml:space="preserve">PRIOR01; DB05; GS01</t>
  </si>
  <si>
    <t xml:space="preserve">2026-07-21T00:00:00</t>
  </si>
  <si>
    <t xml:space="preserve">R004</t>
  </si>
  <si>
    <t xml:space="preserve">Taint-Based Code Slicing for LLMs-based Malicious NPM Package Detection</t>
  </si>
  <si>
    <t xml:space="preserve">https://arxiv.org/abs/2512.12313</t>
  </si>
  <si>
    <t xml:space="preserve">R005</t>
  </si>
  <si>
    <t xml:space="preserve">PyFEX: Uncovering Evasive Python-Based Threats via Resilient and Exhaustive Path Exploration</t>
  </si>
  <si>
    <t xml:space="preserve">https://arxiv.org/abs/2606.02196</t>
  </si>
  <si>
    <t xml:space="preserve">R006</t>
  </si>
  <si>
    <t xml:space="preserve">Are They a Silver Bullet? On the Ability of LLMs to Detect Malicious Code in PyPI Packages</t>
  </si>
  <si>
    <t xml:space="preserve">https://doi.org/10.2139/ssrn.5220789</t>
  </si>
  <si>
    <t xml:space="preserve">R007</t>
  </si>
  <si>
    <t xml:space="preserve">MalGuard: Malicious Package Detection Based on Dual Validation of Rule Scanning and Large Language Model</t>
  </si>
  <si>
    <t xml:space="preserve">https://doi.org/10.1109/DSC67331.2025.00044</t>
  </si>
  <si>
    <t xml:space="preserve">R008</t>
  </si>
  <si>
    <t xml:space="preserve">SemanticSentinel: LLM-Based Semantic Consistency for Malicious Package Detection</t>
  </si>
  <si>
    <t xml:space="preserve">https://doi.org/10.1109/ICCTIT68197.2025.11406234</t>
  </si>
  <si>
    <t xml:space="preserve">PRIOR01; DB01; DB03; GS01</t>
  </si>
  <si>
    <t xml:space="preserve">R009</t>
  </si>
  <si>
    <t xml:space="preserve">Detecting Malicious Source Code in PyPI Packages with LLMs: Does RAG Come in Handy?</t>
  </si>
  <si>
    <t xml:space="preserve">https://doi.org/10.1145/3756681.3757042; https://arxiv.org/abs/2504.13769</t>
  </si>
  <si>
    <t xml:space="preserve">PRIOR01; DB01; DB02; DB04; DB05; GS01</t>
  </si>
  <si>
    <t xml:space="preserve">R010</t>
  </si>
  <si>
    <t xml:space="preserve">Bridging Expert Reasoning and LLM Detection: A Knowledge-Driven Framework for Malicious Packages</t>
  </si>
  <si>
    <t xml:space="preserve">https://doi.org/10.1145/3774904.3792083; https://arxiv.org/abs/2601.16458</t>
  </si>
  <si>
    <t xml:space="preserve">PRIOR01; DB01; DB04; DB05; GS01</t>
  </si>
  <si>
    <t xml:space="preserve">R011</t>
  </si>
  <si>
    <t xml:space="preserve">MalGuard: Towards Real-Time, Accurate, and Actionable Detection of Malicious Packages in PyPI Ecosystem</t>
  </si>
  <si>
    <t xml:space="preserve">USENIX Security 2025/gao-xingan; https://arxiv.org/abs/2506.14466</t>
  </si>
  <si>
    <t xml:space="preserve">R012</t>
  </si>
  <si>
    <t xml:space="preserve">Cutting the Gordian Knot: Detecting Malicious PyPI Packages via a Knowledge-Mining Framework</t>
  </si>
  <si>
    <t xml:space="preserve">https://arxiv.org/abs/2601.16463</t>
  </si>
  <si>
    <t xml:space="preserve">R013</t>
  </si>
  <si>
    <t xml:space="preserve">MalPacDetector: An LLM-Based Malicious npm Package Detector</t>
  </si>
  <si>
    <t xml:space="preserve">https://doi.org/10.1109/TIFS.2025.3580336</t>
  </si>
  <si>
    <t xml:space="preserve">R014</t>
  </si>
  <si>
    <t xml:space="preserve">Maltracker: A Fine-Grained NPM Malware Tracker Copiloted by LLM-Enhanced Dataset</t>
  </si>
  <si>
    <t xml:space="preserve">https://doi.org/10.1145/3650212.3680397</t>
  </si>
  <si>
    <t xml:space="preserve">PRIOR01; DB01; DB02; DB04; GS01</t>
  </si>
  <si>
    <t xml:space="preserve">R015</t>
  </si>
  <si>
    <t xml:space="preserve">Automatically Generating Rules of Malicious Software Packages via Large Language Model</t>
  </si>
  <si>
    <t xml:space="preserve">https://doi.org/10.1109/DSN64029.2025.00072; https://arxiv.org/abs/2504.17198</t>
  </si>
  <si>
    <t xml:space="preserve">PRIOR01; DB01; DB02; DB03; DB05; GS01</t>
  </si>
  <si>
    <t xml:space="preserve">R016</t>
  </si>
  <si>
    <t xml:space="preserve">SpiderScan: Practical Detection of Malicious NPM Packages Based on Graph-Based Behavior Modeling and Matching</t>
  </si>
  <si>
    <t xml:space="preserve">https://doi.org/10.1145/3691620.3695492</t>
  </si>
  <si>
    <t xml:space="preserve">PRIOR01; DB01; DB02; DB03; DB04; GS01</t>
  </si>
  <si>
    <t xml:space="preserve">R017</t>
  </si>
  <si>
    <t xml:space="preserve">Decoding Maliciousness: A Scalable Framework for Malicious PyPI Package Detection via Multi-Source Semantic Fusion</t>
  </si>
  <si>
    <t xml:space="preserve">https://doi.org/10.2139/ssrn.6727185</t>
  </si>
  <si>
    <t xml:space="preserve">PRIOR01; GS01</t>
  </si>
  <si>
    <t xml:space="preserve">R018</t>
  </si>
  <si>
    <t xml:space="preserve">CHASE: LLM Agents for Dissecting Malicious PyPI Packages</t>
  </si>
  <si>
    <t xml:space="preserve">https://doi.org/10.1109/AIware69974.2025.00008; https://arxiv.org/abs/2601.06838</t>
  </si>
  <si>
    <t xml:space="preserve">PRIOR01; DB01; DB03; DB05; GS01</t>
  </si>
  <si>
    <t xml:space="preserve">R019</t>
  </si>
  <si>
    <t xml:space="preserve">PYPILINE: Malicious PyPI Package Detection via Suspicious API Knowledge and Agent Workflow</t>
  </si>
  <si>
    <t xml:space="preserve">https://arxiv.org/abs/2606.19063</t>
  </si>
  <si>
    <t xml:space="preserve">R020</t>
  </si>
  <si>
    <t xml:space="preserve">Many Hands Make Light Work: An LLM-Based Multi-Agent System for Detecting Malicious PyPI Packages</t>
  </si>
  <si>
    <t xml:space="preserve">https://doi.org/10.1016/j.jss.2026.112792; https://arxiv.org/abs/2601.12148</t>
  </si>
  <si>
    <t xml:space="preserve">PRIOR01; DB04; DB05; GS01</t>
  </si>
  <si>
    <t xml:space="preserve">R021</t>
  </si>
  <si>
    <t xml:space="preserve">Large-Scale Analysis of Malicious Packages on PyPI Using LLM Agents</t>
  </si>
  <si>
    <t xml:space="preserve">Uncertain</t>
  </si>
  <si>
    <t xml:space="preserve">Eligibility remained unresolved because the report was not retrieved.</t>
  </si>
  <si>
    <t xml:space="preserve">R022</t>
  </si>
  <si>
    <t xml:space="preserve">Large Language Models based Multi-Agent Systems for Detecting Malicious PyPI Packages</t>
  </si>
  <si>
    <t xml:space="preserve">URN:NBN:fi-fe2025080981964</t>
  </si>
  <si>
    <t xml:space="preserve">R023</t>
  </si>
  <si>
    <t xml:space="preserve">2025 5th International Conference on Communication Technology and Information Technology, ICCTIT 2025</t>
  </si>
  <si>
    <t xml:space="preserve">Scopus EID:105036204441</t>
  </si>
  <si>
    <t xml:space="preserve">No</t>
  </si>
  <si>
    <t xml:space="preserve">Exclude</t>
  </si>
  <si>
    <t xml:space="preserve">Not applicable</t>
  </si>
  <si>
    <t xml:space="preserve">E5</t>
  </si>
  <si>
    <t xml:space="preserve">Proceedings container; not an individual empirical report. No full text to assess.</t>
  </si>
  <si>
    <t xml:space="preserve">R024</t>
  </si>
  <si>
    <t xml:space="preserve">AgentGuard: An Active Threat Discovery System for Package Confusion Using Multi-agent Collaboration</t>
  </si>
  <si>
    <t xml:space="preserve">https://doi.org/10.1007/978-981-95-7820-7_5</t>
  </si>
  <si>
    <t xml:space="preserve">DB01; GS01</t>
  </si>
  <si>
    <t xml:space="preserve">R025</t>
  </si>
  <si>
    <t xml:space="preserve">Killing Two Birds with One Stone: Malicious Package Detection in NPM and PyPI Using a Single Model of Malicious Behavior Sequence</t>
  </si>
  <si>
    <t xml:space="preserve">https://doi.org/10.1145/3705304</t>
  </si>
  <si>
    <t xml:space="preserve">E4</t>
  </si>
  <si>
    <t xml:space="preserve">Cerebro fine-tunes BERT (encoder-only bidirectional pre-trained language model). No generative LLM (GPT, Llama, Claude, etc.) materially participates in detection.</t>
  </si>
  <si>
    <t xml:space="preserve">R026</t>
  </si>
  <si>
    <t xml:space="preserve">PyPIMalDet: A Malicious PyPI Package Detection Method Combining Code Features and Metadata Features</t>
  </si>
  <si>
    <t xml:space="preserve">https://doi.org/10.1016/j.neunet.2025.108487</t>
  </si>
  <si>
    <t xml:space="preserve">DB01; DB02; DB04</t>
  </si>
  <si>
    <t xml:space="preserve">Uses denoising autoencoder + adaptive stacking ensemble with traditional ML classifiers. Paper explicitly avoids LLM for cost/efficiency reasons. No generative LLM participates.</t>
  </si>
  <si>
    <t xml:space="preserve">R027</t>
  </si>
  <si>
    <t xml:space="preserve">Automated Environment Extraction for Malicious Package Validation: Leveraging Threat Intelligence</t>
  </si>
  <si>
    <t xml:space="preserve">https://doi.org/10.1145/3696630.3730568</t>
  </si>
  <si>
    <t xml:space="preserve">DB04; GS01</t>
  </si>
  <si>
    <t xml:space="preserve">R028</t>
  </si>
  <si>
    <t xml:space="preserve">Benchmarking Out of the Box Open-Source LLMs for Malware Detection Based on API Calls Sequences</t>
  </si>
  <si>
    <t xml:space="preserve">https://doi.org/10.1007/978-3-031-77731-8_13</t>
  </si>
  <si>
    <t xml:space="preserve">Not retrieved</t>
  </si>
  <si>
    <t xml:space="preserve">E6</t>
  </si>
  <si>
    <t xml:space="preserve">The report was not retrieved; eligibility could not be confirmed.</t>
  </si>
  <si>
    <t xml:space="preserve">R029</t>
  </si>
  <si>
    <t xml:space="preserve">ProfMalPlus: Agent-Coordinated Detection of Malicious NPM Packages via Static–Dynamic Analysis Synergy</t>
  </si>
  <si>
    <t xml:space="preserve">https://arxiv.org/abs/2607.13965</t>
  </si>
  <si>
    <t xml:space="preserve">DB05; GS01</t>
  </si>
  <si>
    <t xml:space="preserve">R030</t>
  </si>
  <si>
    <t xml:space="preserve">LLM-Enhanced Hierarchical Heterogeneous Graph Representation Learning for Malicious Python Package Detection</t>
  </si>
  <si>
    <t xml:space="preserve">https://arxiv.org/abs/2607.03350</t>
  </si>
  <si>
    <t xml:space="preserve">R031</t>
  </si>
  <si>
    <t xml:space="preserve">JavaSith: A Client-Side Framework for Analyzing Potentially Malicious Extensions in Browsers, VS Code, and NPM Packages</t>
  </si>
  <si>
    <t xml:space="preserve">https://arxiv.org/abs/2505.21263</t>
  </si>
  <si>
    <t xml:space="preserve">WebLLM provides optional post-detection risk explanation only. Core detection relies on static AST analysis + dynamic sandbox. LLM output does not materially affect the detection decision.</t>
  </si>
  <si>
    <t xml:space="preserve">R032</t>
  </si>
  <si>
    <t xml:space="preserve">https://doi.org/10.1145/3744916.3773113; https://arxiv.org/abs/2409.15049</t>
  </si>
  <si>
    <t xml:space="preserve">R033</t>
  </si>
  <si>
    <t xml:space="preserve">Understanding NPM Malicious Package Detection: A Benchmark-Driven Empirical Analysis</t>
  </si>
  <si>
    <t xml:space="preserve">https://arxiv.org/abs/2603.27549; https://doi.org/10.48550/arXiv.2603.27549</t>
  </si>
  <si>
    <t xml:space="preserve">R034</t>
  </si>
  <si>
    <t xml:space="preserve">Efficient Code Analysis via Graph-Guided Large Language Models</t>
  </si>
  <si>
    <t xml:space="preserve">OpenReview:GNieZ8Z5V5; https://arxiv.org/abs/2601.12890; https://doi.org/10.48550/arXiv.2601.12890</t>
  </si>
  <si>
    <t xml:space="preserve">R035</t>
  </si>
  <si>
    <t xml:space="preserve">Poster: An Exploration of Large Language Models in Malicious Source Code Detection</t>
  </si>
  <si>
    <t xml:space="preserve">https://doi.org/10.1145/3658644.3691374</t>
  </si>
  <si>
    <t xml:space="preserve">E2</t>
  </si>
  <si>
    <t xml:space="preserve">The experiment classifies 3,566 Python source-code samples/pruned fragments from mixed product code, public PyPI repositories, and malicious PyPI package repositories. It does not define package- or version-level judgments, so the primary analysis unit falls outside the frozen package boundary.</t>
  </si>
  <si>
    <t xml:space="preserve">2026-07-30T00:00:00</t>
  </si>
  <si>
    <t xml:space="preserve">R036</t>
  </si>
  <si>
    <t xml:space="preserve">Tactics, Techniques, and Procedures (TTPs) in Interpreted Malware: A Zero-Shot Generation with Large Language Models</t>
  </si>
  <si>
    <t xml:space="preserve">https://arxiv.org/abs/2407.08532; https://doi.org/10.48550/arXiv.2407.08532</t>
  </si>
  <si>
    <t xml:space="preserve">DB05-SENS; GS01</t>
  </si>
  <si>
    <t xml:space="preserve">RLX001</t>
  </si>
  <si>
    <t xml:space="preserve">Llm-Assisted Generation of Intentionally Vulnerable Containerized Environments for Cyber Ranges</t>
  </si>
  <si>
    <t xml:space="preserve">https://ssrn.com/abstract=5206937</t>
  </si>
  <si>
    <t xml:space="preserve">Record-level screening</t>
  </si>
  <si>
    <t xml:space="preserve">analysis unit is not a package-manager/registry ecosystem.</t>
  </si>
  <si>
    <t xml:space="preserve">2026-07-20T00:00:00</t>
  </si>
  <si>
    <t xml:space="preserve">RLX002</t>
  </si>
  <si>
    <t xml:space="preserve">What about our bug?: a study on the responsiveness of package maintainers in the node package manager (npm) ecosystem</t>
  </si>
  <si>
    <t xml:space="preserve">https://events.ok.ubc.ca/event/thesis-defence-what-about-our-bug-a-study-on-the-responsiveness-of-package-maintainers-in-the-node-package-manager-npm-ecosystem/</t>
  </si>
  <si>
    <t xml:space="preserve">E3</t>
  </si>
  <si>
    <t xml:space="preserve">not a malicious-package detection or analysis task.</t>
  </si>
  <si>
    <t xml:space="preserve">RLX003</t>
  </si>
  <si>
    <t xml:space="preserve">ConfuGuard: Using Metadata to Detect Active and Stealthy Package Confusion Attacks Accurately and at Scale</t>
  </si>
  <si>
    <t xml:space="preserve">https://arxiv.org/abs/2502.20528</t>
  </si>
  <si>
    <t xml:space="preserve">a generative LLM does not materially participate.</t>
  </si>
  <si>
    <t xml:space="preserve">RLX004</t>
  </si>
  <si>
    <t xml:space="preserve">Detection of Malicious Office Open Documents (OOXML) Using Large Language Models: A Static Analysis Approach</t>
  </si>
  <si>
    <t xml:space="preserve">https://www.mdpi.com/2624-800X/5/2/32</t>
  </si>
  <si>
    <t xml:space="preserve">RLX005</t>
  </si>
  <si>
    <t xml:space="preserve">Detecting Cryptographically Relevant Software Packages with Collaborative LLMs</t>
  </si>
  <si>
    <t xml:space="preserve">https://arxiv.org/abs/2603.07204</t>
  </si>
  <si>
    <t xml:space="preserve">RLX006</t>
  </si>
  <si>
    <t xml:space="preserve">MOLOT System Card: Malicious Operational Logic Observation Transformer</t>
  </si>
  <si>
    <t xml:space="preserve">https://arxiv.org/abs/2606.07792</t>
  </si>
  <si>
    <t xml:space="preserve">RLX007</t>
  </si>
  <si>
    <t xml:space="preserve">We have a package for you! a comprehensive analysis of package hallucinations by code generating LLMs</t>
  </si>
  <si>
    <t xml:space="preserve">https://www.usenix.org/conference/usenixsecurity25/presentation/spracklen</t>
  </si>
  <si>
    <t xml:space="preserve">RLX008</t>
  </si>
  <si>
    <t xml:space="preserve">Llms for malware offense and defense</t>
  </si>
  <si>
    <t xml:space="preserve">https://www.kellyroach.com/Papers/LLMMalware.pdf</t>
  </si>
  <si>
    <t xml:space="preserve">RLX009</t>
  </si>
  <si>
    <t xml:space="preserve">Evaluating LLM Use In Identifying OSS Packages Linked to Cybersecurity Vulnerabilities for HAVOSS</t>
  </si>
  <si>
    <t xml:space="preserve">https://www.rigdonhouse.com/docs/AIML/HAVOSS_CyberResearchPaper_Rigdon.pdf</t>
  </si>
  <si>
    <t xml:space="preserve">RLX010</t>
  </si>
  <si>
    <t xml:space="preserve">Trust Me, Import This: Dependency Steering Attacks via Malicious Agent Skills</t>
  </si>
  <si>
    <t xml:space="preserve">https://arxiv.org/abs/2605.09594</t>
  </si>
  <si>
    <t xml:space="preserve">RLX011</t>
  </si>
  <si>
    <t xml:space="preserve">PyPIGuard: A Lightweight, Explainable Machine Learning Tool for Pre-Install Detection of Malicious PyPI Packages</t>
  </si>
  <si>
    <t xml:space="preserve">https://ssrn.com/abstract=7067738</t>
  </si>
  <si>
    <t xml:space="preserve">RLX012</t>
  </si>
  <si>
    <t xml:space="preserve">Automatic red teaming llm-based agents with model context protocol tools</t>
  </si>
  <si>
    <t xml:space="preserve">https://doi.org/10.1109/TIFS.2026.3691201</t>
  </si>
  <si>
    <t xml:space="preserve">RLX013</t>
  </si>
  <si>
    <t xml:space="preserve">LLM-Enabled Open-Source Systems in the Wild: An Empirical Study of Vulnerabilities in GitHub Security Advisories</t>
  </si>
  <si>
    <t xml:space="preserve">https://arxiv.org/abs/2604.04288</t>
  </si>
  <si>
    <t xml:space="preserve">RLX014</t>
  </si>
  <si>
    <t xml:space="preserve">What About Our Bug? A Study on the Responsiveness of NPM Package Maintainers</t>
  </si>
  <si>
    <t xml:space="preserve">https://conf.researchr.org/details/esem-2025/esem-2025-technical-track/21/What-About-Our-Bug-A-Study-on-the-Responsiveness-of-NPM-Package-Maintainers</t>
  </si>
  <si>
    <t xml:space="preserve">RLX015</t>
  </si>
  <si>
    <t xml:space="preserve">1+ 1&gt; 2: Integrating deep code behaviors with metadata features for malicious pypi package detection</t>
  </si>
  <si>
    <t xml:space="preserve">https://doi.org/10.1145/3691620.3695493</t>
  </si>
  <si>
    <t xml:space="preserve">RLX016</t>
  </si>
  <si>
    <t xml:space="preserve">Supply-chain poisoning attacks against LLM coding agent skill ecosystems</t>
  </si>
  <si>
    <t xml:space="preserve">https://arxiv.org/abs/2604.03081</t>
  </si>
  <si>
    <t xml:space="preserve">RLX017</t>
  </si>
  <si>
    <t xml:space="preserve">Measuring security posture of NAS third-party packages ecosystem: an empirical analysis</t>
  </si>
  <si>
    <t xml:space="preserve">https://doi.org/10.1007/s10515-026-00615-y</t>
  </si>
  <si>
    <t xml:space="preserve">RLX018</t>
  </si>
  <si>
    <t xml:space="preserve">ProfMal: Detecting Malicious NPM Packages by the Synergy between Static and Dynamic Analysis</t>
  </si>
  <si>
    <t xml:space="preserve">https://conf.researchr.org/details/ase-2025/ase-2025-papers/17/ProfMal-Detecting-Malicious-NPM-Packages-by-the-Synergy-between-Static-and-Dynamic-A</t>
  </si>
  <si>
    <t xml:space="preserve">RLX019</t>
  </si>
  <si>
    <t xml:space="preserve">Understanding Large Language Model Supply Chain: Structure, Domain, and Vulnerabilities</t>
  </si>
  <si>
    <t xml:space="preserve">https://arxiv.org/abs/2504.20763</t>
  </si>
  <si>
    <t xml:space="preserve">RLX020</t>
  </si>
  <si>
    <t xml:space="preserve">MalSkillBench: A Runtime-Verified Benchmark of Malicious Agent Skills</t>
  </si>
  <si>
    <t xml:space="preserve">https://arxiv.org/abs/2606.07131</t>
  </si>
  <si>
    <t xml:space="preserve">RLX021</t>
  </si>
  <si>
    <t xml:space="preserve">Investigating Security Implications of Automatically Generated Code on the Software Supply Chain</t>
  </si>
  <si>
    <t xml:space="preserve">https://arxiv.org/abs/2509.20277</t>
  </si>
  <si>
    <t xml:space="preserve">RLX022</t>
  </si>
  <si>
    <t xml:space="preserve">LLM-based Intelligent Agents for Cybersecurity: A Tutorial and Survey of Automated Vulnerability Discovery</t>
  </si>
  <si>
    <t xml:space="preserve">https://doi.org/10.1109/ACCESS.2026.3707573</t>
  </si>
  <si>
    <t xml:space="preserve">Anchor=CHASE (AIware 2025); displayed count=1; 1 checked. General cybersecurity survey; does not address package-manager/registry ecosystem or malicious package detection specifically. Out of scope (E2).</t>
  </si>
  <si>
    <t xml:space="preserve">RLX023</t>
  </si>
  <si>
    <t xml:space="preserve">MOLOT is a transformer-based malware detection system (GPT processing + BiLSTM classification). However, the analysis unit is undefined/generic malware, not explicitly a package-manager/registry ecosystem. MOLOT paper does not demonstrate evaluation on PyPI/npm packages. Out of scope (E2).</t>
  </si>
  <si>
    <t xml:space="preserve">RLX024</t>
  </si>
  <si>
    <t xml:space="preserve">Secure Mobile Agent Environments: A Cybersecurity Approach for Malicious Agent Classification</t>
  </si>
  <si>
    <t xml:space="preserve">https://doi.org/10.1080/07366981.2026.2679179</t>
  </si>
  <si>
    <t xml:space="preserve">Anchor=LAMPS (JSS 2026); displayed count=1; 1 checked. Focuses on mobile agents in MANET environments, not package-manager/registry ecosystems. Out of scope (E2).</t>
  </si>
  <si>
    <t xml:space="preserve">RLX025</t>
  </si>
  <si>
    <t xml:space="preserve">mal-LLM replication package for RAG-Eval</t>
  </si>
  <si>
    <t xml:space="preserve">https://github.com/malexternalsc/mal-LLM</t>
  </si>
  <si>
    <t xml:space="preserve">CONFIRMED: RAG-Eval ref.12. GitHub replication package (mal-LLM). Supporting artifact; not a publication. Counted as an out-of-scope checked citation entry and not promoted to a formal record.</t>
  </si>
  <si>
    <t xml:space="preserve">RLX026</t>
  </si>
  <si>
    <t xml:space="preserve">Large Language Models for Cyber Security: A Systematic Literature Review</t>
  </si>
  <si>
    <t xml:space="preserve">https://doi.org/10.1145/3769676</t>
  </si>
  <si>
    <t xml:space="preserve">the primary analysis unit is not a package-manager/registry ecosystem, software package/version, or package-management workflow. Result-level exclusion only.</t>
  </si>
  <si>
    <t xml:space="preserve">RLX027</t>
  </si>
  <si>
    <t xml:space="preserve">Lifting the Veil on Composition, Risks, and Mitigations of the Large Language Model Supply Chain</t>
  </si>
  <si>
    <t xml:space="preserve">https://doi.org/10.1145/3830903</t>
  </si>
  <si>
    <t xml:space="preserve">RLX028</t>
  </si>
  <si>
    <t xml:space="preserve">Characterizing Deep Learning Package Supply Chains in PyPI: Domains, Clusters, and Disengagement</t>
  </si>
  <si>
    <t xml:space="preserve">https://doi.org/10.1145/3640336</t>
  </si>
  <si>
    <t xml:space="preserve">not a malicious-package detection or analysis task under the frozen scope. Result-level exclusion only.</t>
  </si>
  <si>
    <t xml:space="preserve">RLX029</t>
  </si>
  <si>
    <t xml:space="preserve">ImportSnare: Directed 'Code Manual' Hijacking in Retrieval-Augmented Code Generation</t>
  </si>
  <si>
    <t xml:space="preserve">https://doi.org/10.1145/3719027.3765161</t>
  </si>
  <si>
    <t xml:space="preserve">RLX030</t>
  </si>
  <si>
    <t xml:space="preserve">Generative AI in Virtual Reality Communities: A Preliminary Analysis of the VRChat Discord Community</t>
  </si>
  <si>
    <t xml:space="preserve">https://doi.org/10.1145/3706599.3720120</t>
  </si>
  <si>
    <t xml:space="preserve">RLX031</t>
  </si>
  <si>
    <t xml:space="preserve">Package Hallucinations as Phantoms in Open-source Software Supply Chains: An Empirical Security Analysis</t>
  </si>
  <si>
    <t xml:space="preserve">https://doi.org/10.1145/3830237</t>
  </si>
  <si>
    <t xml:space="preserve">RLX032</t>
  </si>
  <si>
    <t xml:space="preserve">Enhanced Web Testing with LLMs: A Research Roadmap</t>
  </si>
  <si>
    <t xml:space="preserve">https://doi.org/10.1145/3795887</t>
  </si>
  <si>
    <t xml:space="preserve">RLX033</t>
  </si>
  <si>
    <t xml:space="preserve">LLM App Squatting and Cloning</t>
  </si>
  <si>
    <t xml:space="preserve">https://doi.org/10.1145/3696630.3728532</t>
  </si>
  <si>
    <t xml:space="preserve">RLX034</t>
  </si>
  <si>
    <t xml:space="preserve">SourceBroken: A large-scale analysis on the (un)reliability of SourceRank in the PyPI ecosystem</t>
  </si>
  <si>
    <t xml:space="preserve">https://doi.org/10.1145/3748522.3779992</t>
  </si>
  <si>
    <t xml:space="preserve">RLX035</t>
  </si>
  <si>
    <t xml:space="preserve">AgentSentinel: An End-to-End and Real-Time Security Defense Framework for Computer-Use Agents</t>
  </si>
  <si>
    <t xml:space="preserve">https://doi.org/10.1145/3719027.3765064</t>
  </si>
  <si>
    <t xml:space="preserve">RLX036</t>
  </si>
  <si>
    <t xml:space="preserve">PoCGen: Generating Proof-of-Concept Exploits for Vulnerabilities in Npm Packages</t>
  </si>
  <si>
    <t xml:space="preserve">https://doi.org/10.1145/3808178</t>
  </si>
  <si>
    <t xml:space="preserve">RLX037</t>
  </si>
  <si>
    <t xml:space="preserve">BackportBench: A Multilingual Benchmark for Automated Patch Backporting</t>
  </si>
  <si>
    <t xml:space="preserve">https://doi.org/10.1145/3797127</t>
  </si>
  <si>
    <t xml:space="preserve">RLX038</t>
  </si>
  <si>
    <t xml:space="preserve">Uncovering Similar but Different Packages in PyPI and Potential Security Threats</t>
  </si>
  <si>
    <t xml:space="preserve">https://doi.org/10.1145/3808217</t>
  </si>
  <si>
    <t xml:space="preserve">a generative LLM does not materially participate in the evaluated method. Result-level exclusion only.</t>
  </si>
  <si>
    <t xml:space="preserve">RLX039</t>
  </si>
  <si>
    <t xml:space="preserve">AutoCodeRover: Agentic Program Repair for SonarQube Issues</t>
  </si>
  <si>
    <t xml:space="preserve">https://doi.org/10.1145/3803437.3805209</t>
  </si>
  <si>
    <t xml:space="preserve">RLX040</t>
  </si>
  <si>
    <t xml:space="preserve">Leaky Apps: Large-scale Analysis of Secrets Distributed in Android and iOS Apps</t>
  </si>
  <si>
    <t xml:space="preserve">https://doi.org/10.1145/3719027.3765033</t>
  </si>
  <si>
    <t xml:space="preserve">RLX041</t>
  </si>
  <si>
    <t xml:space="preserve">ISSTA 2024: Proceedings of the 33rd ACM SIGSOFT International Symposium on Software Testing and Analysis</t>
  </si>
  <si>
    <t xml:space="preserve">the exported item is a whole proceedings volume, not an individual package/package-workflow empirical study. Result-level exclusion only.</t>
  </si>
  <si>
    <t xml:space="preserve">RLX042</t>
  </si>
  <si>
    <t xml:space="preserve">Poster: Unmasking Label Errors: A need for Robust Cybersecurity Benchmarks</t>
  </si>
  <si>
    <t xml:space="preserve">https://doi.org/10.1145/3658644.3691418</t>
  </si>
  <si>
    <t xml:space="preserve">RLX043</t>
  </si>
  <si>
    <t xml:space="preserve">Trustworthiness of Vibe Coding from the NIST AI RMF Perspective</t>
  </si>
  <si>
    <t xml:space="preserve">https://doi.org/10.1145/3746467.3801530</t>
  </si>
  <si>
    <t xml:space="preserve">RLX044</t>
  </si>
  <si>
    <t xml:space="preserve">SCORED '23: Proceedings of the 2023 Workshop on Software Supply Chain Offensive Research and Ecosystem Defenses</t>
  </si>
  <si>
    <t xml:space="preserve">RLX045</t>
  </si>
  <si>
    <t xml:space="preserve">Towards Secure MLOps: Surveying Attacks, Mitigation Strategies, and Research Challenges</t>
  </si>
  <si>
    <t xml:space="preserve">https://doi.org/10.1145/3796728</t>
  </si>
  <si>
    <t xml:space="preserve">RLX046</t>
  </si>
  <si>
    <t xml:space="preserve">WWW '25: Proceedings of the ACM on Web Conference 2025</t>
  </si>
  <si>
    <t xml:space="preserve">RLX047</t>
  </si>
  <si>
    <t xml:space="preserve">Model Context Protocol (MCP) at First Glance: Studying the Security and Maintainability of MCP Servers</t>
  </si>
  <si>
    <t xml:space="preserve">https://doi.org/10.1145/3814959</t>
  </si>
  <si>
    <t xml:space="preserve">RLX048</t>
  </si>
  <si>
    <t xml:space="preserve">Research Directions in Software Supply Chain Security</t>
  </si>
  <si>
    <t xml:space="preserve">https://doi.org/10.1145/3714464</t>
  </si>
  <si>
    <t xml:space="preserve">non-empirical review/directions work without extractable method and results. Result-level exclusion only.</t>
  </si>
  <si>
    <t xml:space="preserve">RLX049</t>
  </si>
  <si>
    <t xml:space="preserve">CCS '25: Proceedings of the 2025 ACM SIGSAC Conference on Computer and Communications Security</t>
  </si>
  <si>
    <t xml:space="preserve">RLX050</t>
  </si>
  <si>
    <t xml:space="preserve">Understanding npm Developers’ Practices, Challenges, and Recommendations for Secure Package Development</t>
  </si>
  <si>
    <t xml:space="preserve">https://doi.org/10.1145/3794860.3794908</t>
  </si>
  <si>
    <t xml:space="preserve">RLX051</t>
  </si>
  <si>
    <t xml:space="preserve">SCORED '24: Proceedings of the 2024 Workshop on Software Supply Chain Offensive Research and Ecosystem Defenses</t>
  </si>
  <si>
    <t xml:space="preserve">RLX052</t>
  </si>
  <si>
    <t xml:space="preserve">Internetware '24: Proceedings of the 15th Asia-Pacific Symposium on Internetware</t>
  </si>
  <si>
    <t xml:space="preserve">RLX053</t>
  </si>
  <si>
    <t xml:space="preserve">ASIA CCS '25: Proceedings of the 20th ACM Asia Conference on Computer and Communications Security</t>
  </si>
  <si>
    <t xml:space="preserve">RLX054</t>
  </si>
  <si>
    <t xml:space="preserve">EASE '25: Proceedings of the 29th International Conference on Evaluation and Assessment in Software Engineering</t>
  </si>
  <si>
    <t xml:space="preserve">RLX055</t>
  </si>
  <si>
    <t xml:space="preserve">CHASE'26: Proceedings of the 19th International Conference on Cooperative and Human Aspects of Software Engineering</t>
  </si>
  <si>
    <t xml:space="preserve">RLX056</t>
  </si>
  <si>
    <t xml:space="preserve">Obfuscated Clone Search in JavaScript based on Reinforcement Subsequence Learning</t>
  </si>
  <si>
    <t xml:space="preserve">https://doi.org/10.1145/3711903</t>
  </si>
  <si>
    <t xml:space="preserve">RLX057</t>
  </si>
  <si>
    <t xml:space="preserve">ASIA CCS '26: Proceedings of the ACM Asia Conference on Computer and Communications Security</t>
  </si>
  <si>
    <t xml:space="preserve">RLX058</t>
  </si>
  <si>
    <t xml:space="preserve">SCORED '25: Proceedings of the 2025 Workshop on Software Supply Chain Offensive Research and Ecosystem Defenses</t>
  </si>
  <si>
    <t xml:space="preserve">RLX059</t>
  </si>
  <si>
    <t xml:space="preserve">FormaliSE '26: Proceedings of the IEEE/ACM 14th International Conference on Formal Methods in Software Engineering</t>
  </si>
  <si>
    <t xml:space="preserve">RLX060</t>
  </si>
  <si>
    <t xml:space="preserve">Distinguishing AI- and Human-Generated Code: A Case Study</t>
  </si>
  <si>
    <t xml:space="preserve">https://doi.org/10.1145/3605770.3625215</t>
  </si>
  <si>
    <t xml:space="preserve">RLX061</t>
  </si>
  <si>
    <t xml:space="preserve">CCS '24: Proceedings of the 2024 on ACM SIGSAC Conference on Computer and Communications Security</t>
  </si>
  <si>
    <t xml:space="preserve">RLX062</t>
  </si>
  <si>
    <t xml:space="preserve">MSR '24: Proceedings of the 21st International Conference on Mining Software Repositories</t>
  </si>
  <si>
    <t xml:space="preserve">RLX063</t>
  </si>
  <si>
    <t xml:space="preserve">Systematic Review of Identity-Centric Security in Cloud-Native CI/CD Pipelines</t>
  </si>
  <si>
    <t xml:space="preserve">https://doi.org/10.1145/3785520.3785525</t>
  </si>
  <si>
    <t xml:space="preserve">RLX064</t>
  </si>
  <si>
    <t xml:space="preserve">Dr. Docker: A Large-Scale Security Measurement of Docker Image Ecosystem</t>
  </si>
  <si>
    <t xml:space="preserve">https://doi.org/10.1145/3696410.3714653</t>
  </si>
  <si>
    <t xml:space="preserve">RLX065</t>
  </si>
  <si>
    <t xml:space="preserve">SAC '24: Proceedings of the 39th ACM/SIGAPP Symposium on Applied Computing</t>
  </si>
  <si>
    <t xml:space="preserve">RLX066</t>
  </si>
  <si>
    <t xml:space="preserve">ACSAC '23: Proceedings of the 39th Annual Computer Security Applications Conference</t>
  </si>
  <si>
    <t xml:space="preserve">RLX067</t>
  </si>
  <si>
    <t xml:space="preserve">ICSE '24: Proceedings of the IEEE/ACM 46th International Conference on Software Engineering</t>
  </si>
  <si>
    <t xml:space="preserve">RLX068</t>
  </si>
  <si>
    <t xml:space="preserve">ASPLOS '25: Proceedings of the 30th ACM International Conference on Architectural Support for Programming Languages and Operating Systems, Volume 2</t>
  </si>
  <si>
    <t xml:space="preserve">RLX069</t>
  </si>
  <si>
    <t xml:space="preserve">Session Summary Podcast: Session 28: Scheduling, Tiling, and Parallelism</t>
  </si>
  <si>
    <t xml:space="preserve">https://doi.org/10.1145/3712285.3787189</t>
  </si>
  <si>
    <t xml:space="preserve">RLX070</t>
  </si>
  <si>
    <t xml:space="preserve">Securing the Foundation of AI: A Deep Dive into Dependency Management and Security in Deep Learning Frameworks</t>
  </si>
  <si>
    <t xml:space="preserve">https://doi.org/10.1145/3798048</t>
  </si>
  <si>
    <t xml:space="preserve">RLX071</t>
  </si>
  <si>
    <t xml:space="preserve">‹Programming› Companion '26: Companion Proceedings of the 10th International Conference on the Art, Science, and Engineering of Programming</t>
  </si>
  <si>
    <t xml:space="preserve">RLX072</t>
  </si>
  <si>
    <t xml:space="preserve">A Survey of Source Code Representations for Machine Learning-Based Cybersecurity Tasks</t>
  </si>
  <si>
    <t xml:space="preserve">https://doi.org/10.1145/3721977</t>
  </si>
  <si>
    <t xml:space="preserve">RLX073</t>
  </si>
  <si>
    <t xml:space="preserve">ICAICE '23: Proceedings of the 4th International Conference on Artificial Intelligence and Computer Engineering</t>
  </si>
  <si>
    <t xml:space="preserve">RLX074</t>
  </si>
  <si>
    <t xml:space="preserve">X-squatter: AI Multilingual Generation of Cross-Language Sound-squatting</t>
  </si>
  <si>
    <t xml:space="preserve">https://doi.org/10.1145/3663569</t>
  </si>
  <si>
    <t xml:space="preserve">RLX075</t>
  </si>
  <si>
    <t xml:space="preserve">ICSE '23: Proceedings of the 45th International Conference on Software Engineering: Companion Proceedings</t>
  </si>
  <si>
    <t xml:space="preserve">RLX076</t>
  </si>
  <si>
    <t xml:space="preserve">CNIOT '24: Proceedings of the 2024 5th International Conference on Computing, Networks and Internet of Things</t>
  </si>
  <si>
    <t xml:space="preserve">RLX077</t>
  </si>
  <si>
    <t xml:space="preserve">On the Characteristics and Impacts of Protestware Libraries</t>
  </si>
  <si>
    <t xml:space="preserve">https://doi.org/10.1145/3729381</t>
  </si>
  <si>
    <t xml:space="preserve">RLX078</t>
  </si>
  <si>
    <t xml:space="preserve">An Empirical Study of Artifacts and Security Risks in the Pre-trained Model Supply Chain</t>
  </si>
  <si>
    <t xml:space="preserve">https://doi.org/10.1145/3560835.3564547</t>
  </si>
  <si>
    <t xml:space="preserve">RLX079</t>
  </si>
  <si>
    <t xml:space="preserve">ICSE '23: Proceedings of the 45th International Conference on Software Engineering</t>
  </si>
  <si>
    <t xml:space="preserve">RLX080</t>
  </si>
  <si>
    <t xml:space="preserve">ARES '23: Proceedings of the 18th International Conference on Availability, Reliability and Security</t>
  </si>
  <si>
    <t xml:space="preserve">RLX081</t>
  </si>
  <si>
    <t xml:space="preserve">ARES '22: Proceedings of the 17th International Conference on Availability, Reliability and Security</t>
  </si>
  <si>
    <t xml:space="preserve">RLX082</t>
  </si>
  <si>
    <t xml:space="preserve">DMIT '25: Proceedings of the 2025 International Conference on Digital Management and Information Technology</t>
  </si>
  <si>
    <t xml:space="preserve">RLX083</t>
  </si>
  <si>
    <t xml:space="preserve">CCIOT '25: Proceedings of the 2025 10th International Conference on Cloud Computing and Internet of Things</t>
  </si>
  <si>
    <t xml:space="preserve">RLX084</t>
  </si>
  <si>
    <t xml:space="preserve">ASE '22: Proceedings of the 37th IEEE/ACM International Conference on Automated Software Engineering</t>
  </si>
  <si>
    <t xml:space="preserve">RLX085</t>
  </si>
  <si>
    <t xml:space="preserve">MOBISYS '24: Proceedings of the 22nd Annual International Conference on Mobile Systems, Applications and Services</t>
  </si>
  <si>
    <t xml:space="preserve">RLX086</t>
  </si>
  <si>
    <t xml:space="preserve">BOMs Away! Inside the Minds of Stakeholders: A Comprehensive Study of Bills of Materials for Software Systems</t>
  </si>
  <si>
    <t xml:space="preserve">https://doi.org/10.1145/3597503.3623347</t>
  </si>
  <si>
    <t xml:space="preserve">RLX087</t>
  </si>
  <si>
    <t xml:space="preserve">ICSE-SEIP '23: Proceedings of the 45th International Conference on Software Engineering: Software Engineering in Practice</t>
  </si>
  <si>
    <t xml:space="preserve">RLX088</t>
  </si>
  <si>
    <t xml:space="preserve">Importing Phantoms: Measuring LLM Package Hallucination Vulnerabilities</t>
  </si>
  <si>
    <t xml:space="preserve">https://arxiv.org/abs/2501.19012</t>
  </si>
  <si>
    <t xml:space="preserve">R037</t>
  </si>
  <si>
    <t xml:space="preserve">MalTotal: Cost-Effective and Language-Agnostic Malicious Code Poisoning Detection for Millions of Repositories</t>
  </si>
  <si>
    <t xml:space="preserve">https://arxiv.org/abs/2608.03232</t>
  </si>
  <si>
    <t xml:space="preserve">Full text met the package-scope, malicious-package task, material generative-LLM participation, and empirical-results criteria.</t>
  </si>
  <si>
    <t xml:space="preserve">2026-08-31</t>
  </si>
  <si>
    <t xml:space="preserve">R038</t>
  </si>
  <si>
    <t xml:space="preserve">MVRFDet: Malicious package detection in PyPI ecosystem using multi-view representation fusion</t>
  </si>
  <si>
    <t xml:space="preserve">https://doi.org/10.1016/j.inffus.2026.104698</t>
  </si>
  <si>
    <t xml:space="preserve">R039</t>
  </si>
  <si>
    <t xml:space="preserve">PDCG-RuleDetector: parameterized data-flow call graphs meet large language models for malicious NPM package detection</t>
  </si>
  <si>
    <t xml:space="preserve">https://doi.org/10.1007/s44443-026-01121-7</t>
  </si>
  <si>
    <t xml:space="preserve">metric</t>
  </si>
  <si>
    <t xml:space="preserve">reported_count</t>
  </si>
  <si>
    <t xml:space="preserve">workbook_check</t>
  </si>
  <si>
    <t xml:space="preserve">check_status</t>
  </si>
  <si>
    <t xml:space="preserve">definition</t>
  </si>
  <si>
    <t xml:space="preserve">core_database_occurrences</t>
  </si>
  <si>
    <t xml:space="preserve">Five core sources and their update searches through 2026-08-31</t>
  </si>
  <si>
    <t xml:space="preserve">prior_seed_or_lead_occurrences</t>
  </si>
  <si>
    <t xml:space="preserve">Prior seed and lead records checked against the search results</t>
  </si>
  <si>
    <t xml:space="preserve">completed_supplementary_occurrences</t>
  </si>
  <si>
    <t xml:space="preserve">Supplementary, citation, grey-literature, and sensitivity-search occurrences</t>
  </si>
  <si>
    <t xml:space="preserve">all_retrieval_occurrences</t>
  </si>
  <si>
    <t xml:space="preserve">Core, prior, and supplementary occurrences before deduplication</t>
  </si>
  <si>
    <t xml:space="preserve">duplicate_occurrences_removed</t>
  </si>
  <si>
    <t xml:space="preserve">Retrieval occurrences removed as duplicates</t>
  </si>
  <si>
    <t xml:space="preserve">unique_records</t>
  </si>
  <si>
    <t xml:space="preserve">Deduplicated records retained in Selection_Records</t>
  </si>
  <si>
    <t xml:space="preserve">record_level_exclusions</t>
  </si>
  <si>
    <t xml:space="preserve">Records excluded before formal report screening</t>
  </si>
  <si>
    <t xml:space="preserve">formal_screening_records</t>
  </si>
  <si>
    <t xml:space="preserve">Records retained for formal screening</t>
  </si>
  <si>
    <t xml:space="preserve">reports_sought_for_retrieval</t>
  </si>
  <si>
    <t xml:space="preserve">Formal records excluding one proceedings container without an individual report</t>
  </si>
  <si>
    <t xml:space="preserve">reports_not_retrieved</t>
  </si>
  <si>
    <t xml:space="preserve">One unresolved report and one report excluded because full text was not retrieved</t>
  </si>
  <si>
    <t xml:space="preserve">reports_assessed_for_eligibility</t>
  </si>
  <si>
    <t xml:space="preserve">Reports sought minus reports not retrieved</t>
  </si>
  <si>
    <t xml:space="preserve">reports_excluded_after_full_text</t>
  </si>
  <si>
    <t xml:space="preserve">Full-text exclusions with codes E2 or E4</t>
  </si>
  <si>
    <t xml:space="preserve">reports_included</t>
  </si>
  <si>
    <t xml:space="preserve">Reports meeting full-text eligibility</t>
  </si>
  <si>
    <t xml:space="preserve">included_empirical_studies</t>
  </si>
  <si>
    <t xml:space="preserve">Included report-study rows</t>
  </si>
  <si>
    <t xml:space="preserve">research_families</t>
  </si>
  <si>
    <t xml:space="preserve">Distinct research-family identifiers</t>
  </si>
  <si>
    <t xml:space="preserve">primary_role_adjudicator</t>
  </si>
  <si>
    <t xml:space="preserve">Included studies assigned the Adjudicator primary role</t>
  </si>
  <si>
    <t xml:space="preserve">primary_role_constructor</t>
  </si>
  <si>
    <t xml:space="preserve">Included studies assigned the Constructor primary role</t>
  </si>
  <si>
    <t xml:space="preserve">primary_role_orchestrator</t>
  </si>
  <si>
    <t xml:space="preserve">Included studies assigned the Orchestrator primary role</t>
  </si>
  <si>
    <t xml:space="preserve">index</t>
  </si>
  <si>
    <t xml:space="preserve">study_id</t>
  </si>
  <si>
    <t xml:space="preserve">citation_key</t>
  </si>
  <si>
    <t xml:space="preserve">study_label</t>
  </si>
  <si>
    <t xml:space="preserve">research_family</t>
  </si>
  <si>
    <t xml:space="preserve">primary_role</t>
  </si>
  <si>
    <t xml:space="preserve">secondary_role</t>
  </si>
  <si>
    <t xml:space="preserve">study_type</t>
  </si>
  <si>
    <t xml:space="preserve">publication_status</t>
  </si>
  <si>
    <t xml:space="preserve">ecosystem</t>
  </si>
  <si>
    <t xml:space="preserve">input_and_source_evidence</t>
  </si>
  <si>
    <t xml:space="preserve">task_or_analysis_unit</t>
  </si>
  <si>
    <t xml:space="preserve">venue_year</t>
  </si>
  <si>
    <t xml:space="preserve">canonical_report_selected</t>
  </si>
  <si>
    <t xml:space="preserve">S_R001</t>
  </si>
  <si>
    <t xml:space="preserve">zahan2025socketai</t>
  </si>
  <si>
    <t xml:space="preserve">https://doi.org/10.1109/ICSE55347.2025.00146</t>
  </si>
  <si>
    <t xml:space="preserve">SocketAI</t>
  </si>
  <si>
    <t xml:space="preserve">F_R001</t>
  </si>
  <si>
    <t xml:space="preserve">Adjudicator</t>
  </si>
  <si>
    <t xml:space="preserve">System study</t>
  </si>
  <si>
    <t xml:space="preserve">Peer-reviewed publication</t>
  </si>
  <si>
    <t xml:space="preserve">npm</t>
  </si>
  <si>
    <t xml:space="preserve">Multi-file source code; Static program representation</t>
  </si>
  <si>
    <t xml:space="preserve">Package-level binary classification</t>
  </si>
  <si>
    <t xml:space="preserve">ICSE 2025</t>
  </si>
  <si>
    <t xml:space="preserve">S_R002</t>
  </si>
  <si>
    <t xml:space="preserve">wyss2025updates</t>
  </si>
  <si>
    <t xml:space="preserve">Wyss et al.</t>
  </si>
  <si>
    <t xml:space="preserve">F_R002</t>
  </si>
  <si>
    <t xml:space="preserve">Version diff</t>
  </si>
  <si>
    <t xml:space="preserve">Malicious update binary classification</t>
  </si>
  <si>
    <t xml:space="preserve">RAID 2025</t>
  </si>
  <si>
    <t xml:space="preserve">S_R003</t>
  </si>
  <si>
    <t xml:space="preserve">ryan2026mindgap</t>
  </si>
  <si>
    <t xml:space="preserve">https://arxiv.org/abs/2602.16304v3</t>
  </si>
  <si>
    <t xml:space="preserve">Ryan et al.</t>
  </si>
  <si>
    <t xml:space="preserve">F_R003</t>
  </si>
  <si>
    <t xml:space="preserve">Evaluation or benchmark study</t>
  </si>
  <si>
    <t xml:space="preserve">Preprint</t>
  </si>
  <si>
    <t xml:space="preserve">PyPI</t>
  </si>
  <si>
    <t xml:space="preserve">Multi-file source code</t>
  </si>
  <si>
    <t xml:space="preserve">Package-level binary classification; malicious indicator category recognition; multi-label malicious indicator identification</t>
  </si>
  <si>
    <t xml:space="preserve">arXiv 2026</t>
  </si>
  <si>
    <t xml:space="preserve">S_R004</t>
  </si>
  <si>
    <t xml:space="preserve">nguyen2026slicing</t>
  </si>
  <si>
    <t xml:space="preserve">https://doi.org/10.1007/978-3-032-35576-8_2</t>
  </si>
  <si>
    <t xml:space="preserve">Nguyen et al. (taint-based code-slicing study)</t>
  </si>
  <si>
    <t xml:space="preserve">F_R004</t>
  </si>
  <si>
    <t xml:space="preserve">Package classification with non-empty taint-based code slices</t>
  </si>
  <si>
    <t xml:space="preserve">ARES 2026 / LNCS 16900</t>
  </si>
  <si>
    <t xml:space="preserve">S_R005</t>
  </si>
  <si>
    <t xml:space="preserve">wang2026pyfex</t>
  </si>
  <si>
    <t xml:space="preserve">https://arxiv.org/abs/2606.02196v1</t>
  </si>
  <si>
    <t xml:space="preserve">PyFEX (PyFEXScan detector)</t>
  </si>
  <si>
    <t xml:space="preserve">F_R005</t>
  </si>
  <si>
    <t xml:space="preserve">Accepted or proceedings-listed report</t>
  </si>
  <si>
    <t xml:space="preserve">Multi-file source code; Dynamic analysis trace</t>
  </si>
  <si>
    <t xml:space="preserve">Package classification from PyFEX forced-execution traces</t>
  </si>
  <si>
    <t xml:space="preserve">CCS 2026</t>
  </si>
  <si>
    <t xml:space="preserve">S_SILVER_BULLET</t>
  </si>
  <si>
    <t xml:space="preserve">zeshan2025silver</t>
  </si>
  <si>
    <t xml:space="preserve">Zeshan et al. (LLM evaluation)</t>
  </si>
  <si>
    <t xml:space="preserve">F_R006</t>
  </si>
  <si>
    <t xml:space="preserve">Single-file source code</t>
  </si>
  <si>
    <t xml:space="preserve">File-level classification (setup.py)</t>
  </si>
  <si>
    <t xml:space="preserve">SSRN 2025</t>
  </si>
  <si>
    <t xml:space="preserve">S_MALGUARD_DSC</t>
  </si>
  <si>
    <t xml:space="preserve">cai2025malguard</t>
  </si>
  <si>
    <t xml:space="preserve">MalGuard (DSC)</t>
  </si>
  <si>
    <t xml:space="preserve">F_MALGUARD_DSC</t>
  </si>
  <si>
    <t xml:space="preserve">Constructor</t>
  </si>
  <si>
    <t xml:space="preserve">npm and PyPI</t>
  </si>
  <si>
    <t xml:space="preserve">Metadata; Multi-file source code; Static program representation</t>
  </si>
  <si>
    <t xml:space="preserve">Package-level classification and adaptive rule generation</t>
  </si>
  <si>
    <t xml:space="preserve">DSC 2025</t>
  </si>
  <si>
    <t xml:space="preserve">S_R008</t>
  </si>
  <si>
    <t xml:space="preserve">huang2025semantic</t>
  </si>
  <si>
    <t xml:space="preserve">SemanticSentinel</t>
  </si>
  <si>
    <t xml:space="preserve">F_R008</t>
  </si>
  <si>
    <t xml:space="preserve">Package classification using PDG slicing</t>
  </si>
  <si>
    <t xml:space="preserve">ICCTIT 2025</t>
  </si>
  <si>
    <t xml:space="preserve">S_RAG_EVAL</t>
  </si>
  <si>
    <t xml:space="preserve">ibiyo2025rag</t>
  </si>
  <si>
    <t xml:space="preserve">https://doi.org/10.1145/3756681.3757042</t>
  </si>
  <si>
    <t xml:space="preserve">Ibiyo et al. (RAG evaluation)</t>
  </si>
  <si>
    <t xml:space="preserve">F_RAG_MAMPD_LAMPS</t>
  </si>
  <si>
    <t xml:space="preserve">Single-file source code; Retrieved knowledge</t>
  </si>
  <si>
    <t xml:space="preserve">File-level RAG evaluation</t>
  </si>
  <si>
    <t xml:space="preserve">EASE 2025</t>
  </si>
  <si>
    <t xml:space="preserve">S_R010</t>
  </si>
  <si>
    <t xml:space="preserve">guo2026intelguard</t>
  </si>
  <si>
    <t xml:space="preserve">https://doi.org/10.1145/3774904.3792083</t>
  </si>
  <si>
    <t xml:space="preserve">IntelGuard</t>
  </si>
  <si>
    <t xml:space="preserve">F_R010</t>
  </si>
  <si>
    <t xml:space="preserve">Multi-file source code; Static program representation; Retrieved knowledge; Threat intelligence report</t>
  </si>
  <si>
    <t xml:space="preserve">WWW 2026</t>
  </si>
  <si>
    <t xml:space="preserve">S_MA_MPD</t>
  </si>
  <si>
    <t xml:space="preserve">ibiyo2025mampd</t>
  </si>
  <si>
    <t xml:space="preserve">https://www.doria.fi/handle/10024/193115</t>
  </si>
  <si>
    <t xml:space="preserve">MA-MPD</t>
  </si>
  <si>
    <t xml:space="preserve">Master's thesis</t>
  </si>
  <si>
    <t xml:space="preserve">Metadata; Multi-file source code</t>
  </si>
  <si>
    <t xml:space="preserve">Package classification by a 3-agent workflow</t>
  </si>
  <si>
    <t xml:space="preserve">MSc thesis 2025</t>
  </si>
  <si>
    <t xml:space="preserve">S_GRAPH_GUIDED</t>
  </si>
  <si>
    <t xml:space="preserve">gao2026gmllm</t>
  </si>
  <si>
    <t xml:space="preserve">https://openreview.net/forum?id=GNieZ8Z5V5</t>
  </si>
  <si>
    <t xml:space="preserve">GMLLM</t>
  </si>
  <si>
    <t xml:space="preserve">F_GRAPH_GUIDED</t>
  </si>
  <si>
    <t xml:space="preserve">Package classification from a graph-explainer-selected attention subgraph</t>
  </si>
  <si>
    <t xml:space="preserve">ICML 2026 listed</t>
  </si>
  <si>
    <t xml:space="preserve">S_MALGUARD_USENIX</t>
  </si>
  <si>
    <t xml:space="preserve">gao2025malguard</t>
  </si>
  <si>
    <t xml:space="preserve">https://www.usenix.org/conference/usenixsecurity25/presentation/gao-xingan</t>
  </si>
  <si>
    <t xml:space="preserve">MalGuard (USENIX Security)</t>
  </si>
  <si>
    <t xml:space="preserve">F_MALGUARD_USENIX</t>
  </si>
  <si>
    <t xml:space="preserve">Package classification with an ML classifier</t>
  </si>
  <si>
    <t xml:space="preserve">USENIX 2025</t>
  </si>
  <si>
    <t xml:space="preserve">S_R012</t>
  </si>
  <si>
    <t xml:space="preserve">guo2026pyguard</t>
  </si>
  <si>
    <t xml:space="preserve">https://www.usenix.org/conference/usenixsecurity26/presentation/guo-wenbo</t>
  </si>
  <si>
    <t xml:space="preserve">PYGUARD</t>
  </si>
  <si>
    <t xml:space="preserve">F_R012</t>
  </si>
  <si>
    <t xml:space="preserve">Multi-file source code; Static program representation; Retrieved knowledge</t>
  </si>
  <si>
    <t xml:space="preserve">USENIX 2026</t>
  </si>
  <si>
    <t xml:space="preserve">S_R013</t>
  </si>
  <si>
    <t xml:space="preserve">wang2025malpac</t>
  </si>
  <si>
    <t xml:space="preserve">MalPacDetector</t>
  </si>
  <si>
    <t xml:space="preserve">F_R013</t>
  </si>
  <si>
    <t xml:space="preserve">TIFS 2025</t>
  </si>
  <si>
    <t xml:space="preserve">S_R014</t>
  </si>
  <si>
    <t xml:space="preserve">yu2024maltracker</t>
  </si>
  <si>
    <t xml:space="preserve">Maltracker</t>
  </si>
  <si>
    <t xml:space="preserve">F_R014</t>
  </si>
  <si>
    <t xml:space="preserve">Package- and function-level classification</t>
  </si>
  <si>
    <t xml:space="preserve">ISSTA 2024</t>
  </si>
  <si>
    <t xml:space="preserve">S_R015</t>
  </si>
  <si>
    <t xml:space="preserve">zhang2025rulellm</t>
  </si>
  <si>
    <t xml:space="preserve">https://doi.org/10.1109/DSN64029.2025.00072</t>
  </si>
  <si>
    <t xml:space="preserve">RULE LLM</t>
  </si>
  <si>
    <t xml:space="preserve">F_R015</t>
  </si>
  <si>
    <t xml:space="preserve">Single-file source code; Metadata</t>
  </si>
  <si>
    <t xml:space="preserve">Rule generation and held-out-variant detection</t>
  </si>
  <si>
    <t xml:space="preserve">DSN 2025</t>
  </si>
  <si>
    <t xml:space="preserve">S_R016</t>
  </si>
  <si>
    <t xml:space="preserve">huang2024spiderscan</t>
  </si>
  <si>
    <t xml:space="preserve">SpiderScan</t>
  </si>
  <si>
    <t xml:space="preserve">F_R016</t>
  </si>
  <si>
    <t xml:space="preserve">Multi-file source code; Static program representation; Dynamic analysis trace</t>
  </si>
  <si>
    <t xml:space="preserve">Package-level classification via SBG-MBG matching with dynamic analysis and LLM verification</t>
  </si>
  <si>
    <t xml:space="preserve">ASE 2024</t>
  </si>
  <si>
    <t xml:space="preserve">S_R017</t>
  </si>
  <si>
    <t xml:space="preserve">wang2026decoding</t>
  </si>
  <si>
    <t xml:space="preserve">Wang et al. (semantics-aware framework)</t>
  </si>
  <si>
    <t xml:space="preserve">F_R017</t>
  </si>
  <si>
    <t xml:space="preserve">SSRN 2026</t>
  </si>
  <si>
    <t xml:space="preserve">S_R027</t>
  </si>
  <si>
    <t xml:space="preserve">guo2025autoenv</t>
  </si>
  <si>
    <t xml:space="preserve">Guo et al. (environment-extraction pipeline)</t>
  </si>
  <si>
    <t xml:space="preserve">F_R027</t>
  </si>
  <si>
    <t xml:space="preserve">Threat intelligence report</t>
  </si>
  <si>
    <t xml:space="preserve">Environment configuration extraction for containerized validation</t>
  </si>
  <si>
    <t xml:space="preserve">FSE 2025</t>
  </si>
  <si>
    <t xml:space="preserve">S_H2GLM</t>
  </si>
  <si>
    <t xml:space="preserve">gao2026h2glm</t>
  </si>
  <si>
    <t xml:space="preserve">https://arxiv.org/abs/2607.03350v1</t>
  </si>
  <si>
    <t xml:space="preserve">H2GLM</t>
  </si>
  <si>
    <t xml:space="preserve">F_H2GLM</t>
  </si>
  <si>
    <t xml:space="preserve">Package classification and function-level localization with H^2GNN</t>
  </si>
  <si>
    <t xml:space="preserve">S_R032</t>
  </si>
  <si>
    <t xml:space="preserve">guo2026intelliradar</t>
  </si>
  <si>
    <t xml:space="preserve">IntelliRadar</t>
  </si>
  <si>
    <t xml:space="preserve">F_R032</t>
  </si>
  <si>
    <t xml:space="preserve">Software supply chain entity extraction and relation aggregation</t>
  </si>
  <si>
    <t xml:space="preserve">S_R033</t>
  </si>
  <si>
    <t xml:space="preserve">guo2026npmbenchmark</t>
  </si>
  <si>
    <t xml:space="preserve">https://arxiv.org/abs/2603.27549v1</t>
  </si>
  <si>
    <t xml:space="preserve">npm benchmark study</t>
  </si>
  <si>
    <t xml:space="preserve">F_R033</t>
  </si>
  <si>
    <t xml:space="preserve">Tool evaluation and behavior taxonomy construction</t>
  </si>
  <si>
    <t xml:space="preserve">S_GENTTP</t>
  </si>
  <si>
    <t xml:space="preserve">zhang2024genttp</t>
  </si>
  <si>
    <t xml:space="preserve">https://arxiv.org/abs/2407.08532</t>
  </si>
  <si>
    <t xml:space="preserve">GenTTP</t>
  </si>
  <si>
    <t xml:space="preserve">F_GenTTP</t>
  </si>
  <si>
    <t xml:space="preserve">Package to TTP generation; 365-package PyPI evaluation</t>
  </si>
  <si>
    <t xml:space="preserve">arXiv 2024</t>
  </si>
  <si>
    <t xml:space="preserve">S_CHASE</t>
  </si>
  <si>
    <t xml:space="preserve">toda2026chase</t>
  </si>
  <si>
    <t xml:space="preserve">https://doi.org/10.1109/AIware69974.2025.00008</t>
  </si>
  <si>
    <t xml:space="preserve">CHASE</t>
  </si>
  <si>
    <t xml:space="preserve">F_CHASE</t>
  </si>
  <si>
    <t xml:space="preserve">Orchestrator</t>
  </si>
  <si>
    <t xml:space="preserve">Multi-file source code; Retrieved knowledge</t>
  </si>
  <si>
    <t xml:space="preserve">Package classification and report generation by a supervisor-worker multi-agent system</t>
  </si>
  <si>
    <t xml:space="preserve">AIware 2025</t>
  </si>
  <si>
    <t xml:space="preserve">S_R019</t>
  </si>
  <si>
    <t xml:space="preserve">pang2026pypiline</t>
  </si>
  <si>
    <t xml:space="preserve">https://arxiv.org/abs/2606.19063v3</t>
  </si>
  <si>
    <t xml:space="preserve">PYPILINE</t>
  </si>
  <si>
    <t xml:space="preserve">F_R019</t>
  </si>
  <si>
    <t xml:space="preserve">Package classification by a tool-using single agent</t>
  </si>
  <si>
    <t xml:space="preserve">S_LAMPS</t>
  </si>
  <si>
    <t xml:space="preserve">zeshan2026lamps</t>
  </si>
  <si>
    <t xml:space="preserve">https://doi.org/10.1016/j.jss.2026.112792</t>
  </si>
  <si>
    <t xml:space="preserve">LAMPS</t>
  </si>
  <si>
    <t xml:space="preserve">File-level CodeBERT classification and package-level aggregation</t>
  </si>
  <si>
    <t xml:space="preserve">JSS 2026</t>
  </si>
  <si>
    <t xml:space="preserve">S_R024</t>
  </si>
  <si>
    <t xml:space="preserve">ma2025agentguard</t>
  </si>
  <si>
    <t xml:space="preserve">AgentGuard</t>
  </si>
  <si>
    <t xml:space="preserve">F_R024</t>
  </si>
  <si>
    <t xml:space="preserve">Multiple ecosystems; evaluation composition not enumerated</t>
  </si>
  <si>
    <t xml:space="preserve">Metadata</t>
  </si>
  <si>
    <t xml:space="preserve">Package confusion detection from names and metadata</t>
  </si>
  <si>
    <t xml:space="preserve">ML4CS 2025 / LNCS 2026</t>
  </si>
  <si>
    <t xml:space="preserve">S_R029</t>
  </si>
  <si>
    <t xml:space="preserve">huang2026profmalplus</t>
  </si>
  <si>
    <t xml:space="preserve">https://arxiv.org/abs/2607.13965v1</t>
  </si>
  <si>
    <t xml:space="preserve">ProfMalPlus</t>
  </si>
  <si>
    <t xml:space="preserve">F_R029</t>
  </si>
  <si>
    <t xml:space="preserve">Metadata; Multi-file source code; Static program representation; Dynamic analysis trace; Retrieved knowledge</t>
  </si>
  <si>
    <t xml:space="preserve">Package classification by multi-agent evidence routing with Local and Global Behavior Judge Agents</t>
  </si>
  <si>
    <t xml:space="preserve">S_R037</t>
  </si>
  <si>
    <t xml:space="preserve">zhao2026maltotal</t>
  </si>
  <si>
    <t xml:space="preserve">MalTotal</t>
  </si>
  <si>
    <t xml:space="preserve">F_R037</t>
  </si>
  <si>
    <t xml:space="preserve">npm and PyPI; multi-language GitHub repositories</t>
  </si>
  <si>
    <t xml:space="preserve">Repository/package-level malicious-code classification across Python, JavaScript, Java, Go, and PHP</t>
  </si>
  <si>
    <t xml:space="preserve">ISSTA 2026 accepted</t>
  </si>
  <si>
    <t xml:space="preserve">S_R038</t>
  </si>
  <si>
    <t xml:space="preserve">yan2027mvrfdet</t>
  </si>
  <si>
    <t xml:space="preserve">MVRFDet</t>
  </si>
  <si>
    <t xml:space="preserve">F_R038</t>
  </si>
  <si>
    <t xml:space="preserve">Package classification by multi-view metadata, code, API-call, and control-flow representations</t>
  </si>
  <si>
    <t xml:space="preserve">Information Fusion 2027</t>
  </si>
  <si>
    <t xml:space="preserve">S_R039</t>
  </si>
  <si>
    <t xml:space="preserve">bai2026pdcg</t>
  </si>
  <si>
    <t xml:space="preserve">PDCG-RuleDetector</t>
  </si>
  <si>
    <t xml:space="preserve">F_R039</t>
  </si>
  <si>
    <t xml:space="preserve">Package classification using an LLM-generated rule library and parameterized data-flow call graphs</t>
  </si>
  <si>
    <t xml:space="preserve">JKSUCIS 2026</t>
  </si>
  <si>
    <t xml:space="preserve">short_label</t>
  </si>
  <si>
    <t xml:space="preserve">label_ground_truth_source</t>
  </si>
  <si>
    <t xml:space="preserve">label_ground_truth_notes</t>
  </si>
  <si>
    <t xml:space="preserve">temporal_split</t>
  </si>
  <si>
    <t xml:space="preserve">data_time_range</t>
  </si>
  <si>
    <t xml:space="preserve">contamination_risk</t>
  </si>
  <si>
    <t xml:space="preserve">contamination_notes</t>
  </si>
  <si>
    <t xml:space="preserve">model_snapshot</t>
  </si>
  <si>
    <t xml:space="preserve">prompt_seed_reported</t>
  </si>
  <si>
    <t xml:space="preserve">repetition_reported</t>
  </si>
  <si>
    <t xml:space="preserve">ablation_type</t>
  </si>
  <si>
    <t xml:space="preserve">ablation_detail</t>
  </si>
  <si>
    <t xml:space="preserve">confusion_matrix_complete</t>
  </si>
  <si>
    <t xml:space="preserve">ci_or_variance_reported</t>
  </si>
  <si>
    <t xml:space="preserve">cost_latency_reported</t>
  </si>
  <si>
    <t xml:space="preserve">reproducibility_materials</t>
  </si>
  <si>
    <t xml:space="preserve">ground_truth_score</t>
  </si>
  <si>
    <t xml:space="preserve">contamination_score</t>
  </si>
  <si>
    <t xml:space="preserve">model_identifiability_score</t>
  </si>
  <si>
    <t xml:space="preserve">outcome_reporting_score</t>
  </si>
  <si>
    <t xml:space="preserve">uncertainty_score</t>
  </si>
  <si>
    <t xml:space="preserve">component_isolation_score</t>
  </si>
  <si>
    <t xml:space="preserve">reproducibility_score</t>
  </si>
  <si>
    <t xml:space="preserve">audit_vector</t>
  </si>
  <si>
    <t xml:space="preserve">method_score_14</t>
  </si>
  <si>
    <t xml:space="preserve">missing_domains</t>
  </si>
  <si>
    <t xml:space="preserve">evidence_locations</t>
  </si>
  <si>
    <t xml:space="preserve">Peer-reviewed conference (ICSE 2025; DOI 10.1109/ICSE55347.2025.00146)</t>
  </si>
  <si>
    <t xml:space="preserve">Dataset-derived (secondary)</t>
  </si>
  <si>
    <t xml:space="preserve">MalwareBench: 3,523 malicious + 10,691 neutral npm packages. Labels inherited from MalwareBench curation.</t>
  </si>
  <si>
    <t xml:space="preserve">Not reported (zero-shot; no train/test split)</t>
  </si>
  <si>
    <t xml:space="preserve">NR (MalwareBench published MSR 2024; collection period not specified)</t>
  </si>
  <si>
    <t xml:space="preserve">Medium</t>
  </si>
  <si>
    <t xml:space="preserve">Zero-shot evaluation without chronological isolation. GPT-4 training cutoff Apr 2023 may overlap with MalwareBench samples.</t>
  </si>
  <si>
    <t xml:space="preserve">GPT-4-1106-preview; GPT-3.5-turbo-1106</t>
  </si>
  <si>
    <t xml:space="preserve">Yes (temperature=1.0/top_p=0.9 initial; 0.75/0.6 critical; 0.5/0.5 final)</t>
  </si>
  <si>
    <t xml:space="preserve">Yes: GPT-3 generated 5 reports per CodeQL-flagged file; GPT-4 generated 3 reports per flagged file. The paper does not report run-to-run variance across independent experiment repetitions.</t>
  </si>
  <si>
    <t xml:space="preserve">Component; Architecture</t>
  </si>
  <si>
    <t xml:space="preserve">CodeQL pre-filtering reduced 18,754 files to 4,146 (77.9%) and reduced projected LLM cost. GPT-3/GPT-4 and CodeQL-only results are compared, but model, context window, and workflow differ; no equal-budget LLM-removal ablation is reported.</t>
  </si>
  <si>
    <t xml:space="preserve">Yes (TP/FP/TN/FN for GPT-4, GPT-3, CodeQL)</t>
  </si>
  <si>
    <t xml:space="preserve">Partial (total evaluation cost only): $49.13 GPT-3 + $482.46 GPT-4 over 4,146 CodeQL-flagged files; $125.65 GPT-3 + $2,013.84 GPT-4 without CodeQL pre-screening. Not a per-package cost.</t>
  </si>
  <si>
    <t xml:space="preserve">Partial (on request): CodeQL queries public on GitHub; MalwareBench access upon request</t>
  </si>
  <si>
    <t xml:space="preserve">1/1/2/2/0/1/1</t>
  </si>
  <si>
    <t xml:space="preserve">Uncertainty/repetition</t>
  </si>
  <si>
    <t xml:space="preserve">zahan2025socketai; source fields: label_ground_truth_notes, contamination_notes, ablation_detail, and reproducibility_materials</t>
  </si>
  <si>
    <t xml:space="preserve">npm Updates Eval</t>
  </si>
  <si>
    <t xml:space="preserve">Peer-reviewed conference (RAID 2025; DOI 10.1109/RAID67961.2025.00047)</t>
  </si>
  <si>
    <t xml:space="preserve">Dataset-derived (secondary) + Prior curated datasets</t>
  </si>
  <si>
    <t xml:space="preserve">46 known malicious updates from Backstabber Knife Collection; 2,000 benign from April 15, 2024 snapshot. 163 malicious clones from StacklokLabs GitHub archive manually verified by authors.</t>
  </si>
  <si>
    <t xml:space="preserve">Not reported (mixed historical samples)</t>
  </si>
  <si>
    <t xml:space="preserve">Malicious: historical attacks spanning multiple years. Benign: April 15, 2024 snapshot.</t>
  </si>
  <si>
    <t xml:space="preserve">No chronological split. Malicious clones may have temporal proximity bias.</t>
  </si>
  <si>
    <t xml:space="preserve">GPT-4o; GPT-4-Turbo; Gemini-2.0-Flash (versions unspecified)</t>
  </si>
  <si>
    <t xml:space="preserve">No (temperature/seed not reported)</t>
  </si>
  <si>
    <t xml:space="preserve">No (LLM non-determinism acknowledged; no repeated runs)</t>
  </si>
  <si>
    <t xml:space="preserve">None (preprocessing/feasibility comparison; not a controlled detector-performance ablation)</t>
  </si>
  <si>
    <t xml:space="preserve">Smart-diff reduces mean input size from 546,363 to 25,246 tokens (95.4%) and allows 98.5% of packages to fit the context window. The paper does not report a controlled with/without Smart-diff detector-performance ablation.</t>
  </si>
  <si>
    <t xml:space="preserve">Yes (TP=209, FN=0, FP=8, TN=1992 for GPT-4o; reported across the malicious/benign evaluation tables)</t>
  </si>
  <si>
    <t xml:space="preserve">Yes (cost + latency): mean $0.25/update (GPT-4-Turbo). Mean 35.59s/update.</t>
  </si>
  <si>
    <t xml:space="preserve">Code + data public: authors release all code/data via Open Science Framework</t>
  </si>
  <si>
    <t xml:space="preserve">1/1/1/2/0/0/2</t>
  </si>
  <si>
    <t xml:space="preserve">Uncertainty/repetition; Component isolation</t>
  </si>
  <si>
    <t xml:space="preserve">wyss2025evaluating; source fields: label_ground_truth_notes, contamination_notes, ablation_detail, and reproducibility_materials</t>
  </si>
  <si>
    <t xml:space="preserve">LLM PyPI Eval (Mind the Gap)</t>
  </si>
  <si>
    <t xml:space="preserve">Preprint (arXiv:2602.16304)</t>
  </si>
  <si>
    <t xml:space="preserve">Manual expert review (taxonomy-based annotation)</t>
  </si>
  <si>
    <t xml:space="preserve">370 malicious PyPI packages represented by 385 files with 2,962 statement-level annotations over a 47-indicator taxonomy; Task 1 additionally uses 3,700 benign packages.</t>
  </si>
  <si>
    <t xml:space="preserve">Not reported</t>
  </si>
  <si>
    <t xml:space="preserve">Malicious: pypi_malregistry last accessed June 24, 2026. Benign: MalGuard dataset.</t>
  </si>
  <si>
    <t xml:space="preserve">Acknowledged memorization risk: "models may have seen test packages during training." No chronological isolation.</t>
  </si>
  <si>
    <t xml:space="preserve">13 models: Gemma-3-4B, Qwen-3-4B, Gemma-3-12B, Phi-4, GPT-OSS-20B, Granite-4.0-H-Small, Devstral Small, Gemma-3-27B, Qwen-3 Coder, Llama-3.3, GPT-OSS-120B, Gemma-4-31B, GPT-4.1-2025-04-14</t>
  </si>
  <si>
    <t xml:space="preserve">Prompt strategies and temperature settings reported; generation seed not reported. A fixed seed was used only for package sampling.</t>
  </si>
  <si>
    <t xml:space="preserve">No independent repetitions: each (file, model, prompt, temperature) configuration produced one response. Self-consistency is a prompt strategy, not an experiment repetition.</t>
  </si>
  <si>
    <t xml:space="preserve">Architecture (prompt strategy and temperature comparison; no system component ablation)</t>
  </si>
  <si>
    <t xml:space="preserve">13 LLMs, 5 prompt strategies, and 3 temperatures (2 for proprietary GPT-4.1). Task 1 generated 19,570 responses; Task 2 generated 73,150 responses. This is a configuration evaluation, not a system-component or LLM-removal ablation.</t>
  </si>
  <si>
    <t xml:space="preserve">Partial (F1 per model/config in Table III; per-label support/precision/recall reported)</t>
  </si>
  <si>
    <t xml:space="preserve">No run-to-run CI/variance. The paper reports cross-condition statistics; the 0.51 prompt figure is the range 0.74-0.23, although the paper calls it variance.</t>
  </si>
  <si>
    <t xml:space="preserve">None (no replication package or data availability statement found)</t>
  </si>
  <si>
    <t xml:space="preserve">2/1/2/1/0/1/0</t>
  </si>
  <si>
    <t xml:space="preserve">Uncertainty/repetition; Reproducibility</t>
  </si>
  <si>
    <t xml:space="preserve">ryan2026evaluation; source fields: label_ground_truth_notes, contamination_notes, ablation_detail, and reproducibility_materials</t>
  </si>
  <si>
    <t xml:space="preserve">Taint Slicing</t>
  </si>
  <si>
    <t xml:space="preserve">Peer-reviewed conference paper (ARES 2026; LNCS 16900; DOI 10.1007/978-3-032-35576-8_2)</t>
  </si>
  <si>
    <t xml:space="preserve">MalnpmDB: 4,051 benign + 3,258 malicious npm packages. After CPG slicing: 2,537/7,000+ packages sliceable.</t>
  </si>
  <si>
    <t xml:space="preserve">Not reported (zero-shot with DeepSeek-Coder-6.7B)</t>
  </si>
  <si>
    <t xml:space="preserve">NR (MalnpmDB collection period not specified)</t>
  </si>
  <si>
    <t xml:space="preserve">Unclear</t>
  </si>
  <si>
    <t xml:space="preserve">No chronological split, and possible DeepSeek-Coder pre-training overlap with known packages is not assessed. Separately, 44% of malicious and 67% of benign packages are excluded due to empty slices; this is coverage/survival bias, not train-test contamination.</t>
  </si>
  <si>
    <t xml:space="preserve">DeepSeek-Coder-6.7B (version unspecified; MIT license; dual RTX 3080)</t>
  </si>
  <si>
    <t xml:space="preserve">No (temperature/seed not reported; threshold=0.8 via sensitivity analysis)</t>
  </si>
  <si>
    <t xml:space="preserve">No (single inference per slice)</t>
  </si>
  <si>
    <t xml:space="preserve">Component</t>
  </si>
  <si>
    <t xml:space="preserve">Three input representations are compared while holding the DeepSeek-Coder adjudicator fixed: naive splitting (75.41% accuracy, F1 67.80), an intermediate static slicing baseline (75.65% accuracy), and taint-based static slicing (87.04% accuracy, F1 83.32).</t>
  </si>
  <si>
    <t xml:space="preserve">Partial (accuracy/P/R/F1 per method; raw TP/FP/TN/FN not tabulated)</t>
  </si>
  <si>
    <t xml:space="preserve">Code public: GitHub repository</t>
  </si>
  <si>
    <t xml:space="preserve">1/0/1/1/0/1/1</t>
  </si>
  <si>
    <t xml:space="preserve">Temporal/contamination control; Uncertainty/repetition</t>
  </si>
  <si>
    <t xml:space="preserve">Nguyen et al., ARES 2026 International Workshops, LNCS 16900, pp. 22-39; source fields: label_ground_truth_notes, contamination_notes, ablation_detail, and reproducibility_materials</t>
  </si>
  <si>
    <t xml:space="preserve">PyFEX</t>
  </si>
  <si>
    <t xml:space="preserve">Accepted conference paper (ACM CCS 2026; to appear; supplied PDF is an arXiv/template-placeholder version)</t>
  </si>
  <si>
    <t xml:space="preserve">Manual expert review + Dataset-derived</t>
  </si>
  <si>
    <t xml:space="preserve">D1-Raw contains 10,920 known-malicious PyPI packages; after deduplication and removal of 112 mislabeled benign packages, D1 contains 2,961 unique malicious packages. D2 contains 417 malicious Python executables. D3 contains 50,427 live PyPI packages.</t>
  </si>
  <si>
    <t xml:space="preserve">90-day live deployment beginning 2025-08-01</t>
  </si>
  <si>
    <t xml:space="preserve">No chronological split. Malicious/benign selection may have temporal bias.</t>
  </si>
  <si>
    <t xml:space="preserve">GPT-4.1-mini (LLM trace judge; exact snapshot not reported)</t>
  </si>
  <si>
    <t xml:space="preserve">Component-level validation (dormant-function analysis and crash recovery disabling comparisons; path merging compared with naive no-pruning execution; no LLM ablation)</t>
  </si>
  <si>
    <t xml:space="preserve">Disabling comparisons are reported for dormant-function analysis and crash recovery. Post-dominator path merging is assessed against naive forced execution without branch pruning, not through the same enable/disable design. LLM-removal ablation is not reported. D3 field evaluation ran for 90 days beginning 2025-08-01. Approximately 75 s/package total analysis time is reported.</t>
  </si>
  <si>
    <t xml:space="preserve">Partial (P/R/F1; no raw confusion matrix)</t>
  </si>
  <si>
    <t xml:space="preserve">Partial (runtime only): about 75 s/package total analysis time reported</t>
  </si>
  <si>
    <t xml:space="preserve">Code + data public: artifact repository stated in the paper (https://github.com/EmsecCispa/PyFEX)</t>
  </si>
  <si>
    <t xml:space="preserve">2/1/1/1/0/1/2</t>
  </si>
  <si>
    <t xml:space="preserve">wang2026pyfex; source fields: label_ground_truth_notes, contamination_notes, ablation_detail, and reproducibility_materials</t>
  </si>
  <si>
    <t xml:space="preserve">Silver Bullet</t>
  </si>
  <si>
    <t xml:space="preserve">Preprint (SSRN; submitted to Information and Software Technology; not indexed in the exports)</t>
  </si>
  <si>
    <t xml:space="preserve">The paper internally reports three benign denominators: 5,193 (p.15), 5,093 (p.16), and 5,139 (p.17), alongside 139 malicious packages. The inconsistency is retained rather than selecting one denominator.</t>
  </si>
  <si>
    <t xml:space="preserve">NR</t>
  </si>
  <si>
    <t xml:space="preserve">Highly imbalanced dataset (139 malicious; benign denominator conflicts across pp.15-17: 5,193/5,093/5,139). No chronological split.</t>
  </si>
  <si>
    <t xml:space="preserve">LLaMA2-7B; LLaMA3-8B; CodeLLaMA; CodeBERT; GPT-4o; CodeSniffer. CodeSniffer is a tailored ChatGPT custom GPT, not a static analyzer.</t>
  </si>
  <si>
    <t xml:space="preserve">None</t>
  </si>
  <si>
    <t xml:space="preserve">No system component ablation (evaluation study comparing LLMs). Original paper reports conflicting benign denominators: 5,193/5,093/5,139 across different contexts.</t>
  </si>
  <si>
    <t xml:space="preserve">Partial (accuracy/P/R/F1 per model; raw cells not tabulated)</t>
  </si>
  <si>
    <t xml:space="preserve">None (code/data not publicly released)</t>
  </si>
  <si>
    <t xml:space="preserve">1/1/2/1/0/0/0</t>
  </si>
  <si>
    <t xml:space="preserve">Uncertainty/repetition; Component isolation; Reproducibility</t>
  </si>
  <si>
    <t xml:space="preserve">zeshan2025silver; source fields: label_ground_truth_notes, contamination_notes, ablation_detail, and reproducibility_materials</t>
  </si>
  <si>
    <t xml:space="preserve">MalGuard-DSC</t>
  </si>
  <si>
    <t xml:space="preserve">Peer-reviewed conference (IEEE DSC 2025; DOI 10.1109/DSC67331.2025.00044)</t>
  </si>
  <si>
    <t xml:space="preserve">6,635 samples: 4,423 malicious packages from the Backstabber's Knife Collection and 2,212 benign packages crawled by the authors.</t>
  </si>
  <si>
    <t xml:space="preserve">No chronological split explicitly documented.</t>
  </si>
  <si>
    <t xml:space="preserve">Qwen2.5 LLM analyzer (temperature=0.5) combined with YARA, Semgrep, and GuardDog scanners</t>
  </si>
  <si>
    <t xml:space="preserve">Partial (temperature=0.5 reported; random seed not reported)</t>
  </si>
  <si>
    <t xml:space="preserve">No explicit ablation for LLM Analyzer component reported.</t>
  </si>
  <si>
    <t xml:space="preserve">Partial (P/R/F1; raw cells not tabulated)</t>
  </si>
  <si>
    <t xml:space="preserve">cai2025malguard; source fields: label_ground_truth_notes, contamination_notes, ablation_detail, and reproducibility_materials</t>
  </si>
  <si>
    <t xml:space="preserve">Peer-reviewed conference (IEEE ICCTIT 2025; DOI 10.1109/ICCTIT68197.2025.11406234)</t>
  </si>
  <si>
    <t xml:space="preserve">Dataset-derived (secondary) (broad: published reports/advisories + random npm sampling; no detailed annotation protocol)</t>
  </si>
  <si>
    <t xml:space="preserve">NPM packages from public datasets. PDG slicing + entropy/Levenshtein features.</t>
  </si>
  <si>
    <t xml:space="preserve">No chronological split.</t>
  </si>
  <si>
    <t xml:space="preserve">Fine-tuned Code-Llama 7B</t>
  </si>
  <si>
    <t xml:space="preserve">No explicit ablation study reported.</t>
  </si>
  <si>
    <t xml:space="preserve">Partial (latency only): average 10-15 s/package; dollar cost not reported.</t>
  </si>
  <si>
    <t xml:space="preserve">huang2025semantic; source fields: label_ground_truth_notes, contamination_notes, ablation_detail, and reproducibility_materials</t>
  </si>
  <si>
    <t xml:space="preserve">RAG Eval</t>
  </si>
  <si>
    <t xml:space="preserve">Peer-reviewed conference (ACM EASE 2025; DOI 10.1145/3756681.3757042)</t>
  </si>
  <si>
    <t xml:space="preserve">1,242 malicious PyPI (DataDog) + 3,752 benign. AST-parsed setup.py files.</t>
  </si>
  <si>
    <t xml:space="preserve">No chronological split. The AST-usable evaluation data contain 1,242 malicious and 3,752 benign files/packages (approximately 1:3, not balanced).</t>
  </si>
  <si>
    <t xml:space="preserve">GPT-4o-mini; LLaMA-3-70B; LLaMA-3.1-8B</t>
  </si>
  <si>
    <t xml:space="preserve">Architecture</t>
  </si>
  <si>
    <t xml:space="preserve">RAG vs. zero-shot vs. fine-tuning. No component removal from a single system.</t>
  </si>
  <si>
    <t xml:space="preserve">Partial (P/R/F1 for benign/malicious; raw cells not tabulated)</t>
  </si>
  <si>
    <t xml:space="preserve">Code + data public: the paper explicitly provides a replication package</t>
  </si>
  <si>
    <t xml:space="preserve">1/1/2/1/0/1/2</t>
  </si>
  <si>
    <t xml:space="preserve">ibiyo2025rag; source fields: label_ground_truth_notes, contamination_notes, ablation_detail, and reproducibility_materials</t>
  </si>
  <si>
    <t xml:space="preserve">Peer-reviewed conference (ACM Web Conference 2026; DOI 10.1145/3774904.3792083)</t>
  </si>
  <si>
    <t xml:space="preserve">Threat intelligence (KB construction) + Dataset-derived (evaluation labels)</t>
  </si>
  <si>
    <t xml:space="preserve">KB construction: 8,024 threat-intel reports filtered by GPT-4.1, expert audit applied to KB extraction subset only. Evaluation labels: existing malicious datasets + top-5000 benign packages (not expert-verified).</t>
  </si>
  <si>
    <t xml:space="preserve">Not reported for the main evaluation; a separate post-knowledge-cutoff validation is reported</t>
  </si>
  <si>
    <t xml:space="preserve">Main evaluation collection times are not specified as a chronological train/test split. A separate set of 959 packages released after January 2025 is evaluated beyond the GPT-4.1-mini June 2024 knowledge cutoff.</t>
  </si>
  <si>
    <t xml:space="preserve">Low</t>
  </si>
  <si>
    <t xml:space="preserve">The paper states that the test datasets do not overlap with packages used for knowledge-base construction. The main evaluation is not chronological; a separate 959-package post-January-2025 validation addresses model-cutoff contamination.</t>
  </si>
  <si>
    <t xml:space="preserve">GPT-4.1 (knowledge extraction); text-embedding-3-large (embeddings); GPT-4.1-mini (online detection). GPT-4o/GPT-4o-mini are direct-prompt baselines.</t>
  </si>
  <si>
    <t xml:space="preserve">Knowledge-enhanced IntelGuard is compared with direct GPT-4o/GPT-4o-mini baselines and tested on standard, obfuscated, npm, and post-cutoff sets. Because the model and the knowledge pipeline change together in several comparisons, the knowledge effect is only partially isolated.</t>
  </si>
  <si>
    <t xml:space="preserve">Partial (accuracy/precision/recall; raw cells not tabulated)</t>
  </si>
  <si>
    <t xml:space="preserve">Yes (cost + latency): about $0.018 per package and 29.48 seconds per package for online detection.</t>
  </si>
  <si>
    <t xml:space="preserve">1/2/2/1/0/1/0</t>
  </si>
  <si>
    <t xml:space="preserve">guo2026intelguard; source fields: label_ground_truth_notes, contamination_notes, ablation_detail, and reproducibility_materials</t>
  </si>
  <si>
    <t xml:space="preserve">Thesis (no journal/conference venue recorded in the exports)</t>
  </si>
  <si>
    <t xml:space="preserve">1,913 malicious PyPI (DataDog) + 163 (Backstabber) + 3,451 benign. Master thesis.</t>
  </si>
  <si>
    <t xml:space="preserve">No chronological split. Master thesis without independent third-party validation.</t>
  </si>
  <si>
    <t xml:space="preserve">GPT-4o-mini (Root Agent: temperature=0.1; Metadata Agent: temperature=0.2; Classification Agent: temperature=0.5). LLaMA3-70B and Gemini-2.5-Flash evaluated as alternatives.</t>
  </si>
  <si>
    <t xml:space="preserve">Partial (agent temperatures reported: Root=0.1, Metadata=0.2, Classification=0.5; random/generation seed not reported)</t>
  </si>
  <si>
    <t xml:space="preserve">Architecture (single-agent vs. multi-agent comparison; no per-agent removal)</t>
  </si>
  <si>
    <t xml:space="preserve">Single-agent baseline stopped after 316 packages (25.63% completion). MA-MPD evaluated on 1,296 separate packages achieving 98.80% F1 and 99.53% accuracy. Different evaluated sets and non-equalized call/tool budgets.</t>
  </si>
  <si>
    <t xml:space="preserve">Yes (full confusion matrices are presented as figures for the reported model evaluations)</t>
  </si>
  <si>
    <t xml:space="preserve">Partial: latency, throughput, and dollar price per-agent reported in thesis tables; per-package dollar cost NR</t>
  </si>
  <si>
    <t xml:space="preserve">None reported in the core thesis PDF: no code/data availability statement or study-specific replication repository is identified in the document.</t>
  </si>
  <si>
    <t xml:space="preserve">1/1/2/2/0/1/0</t>
  </si>
  <si>
    <t xml:space="preserve">ibiyo2025mampd; source fields: label_ground_truth_notes, contamination_notes, ablation_detail, and reproducibility_materials</t>
  </si>
  <si>
    <t xml:space="preserve">Accepted/listed ICML 2026 paper; proceedings not yet live as of 2026-07-23 + arXiv preprint 2601.12890</t>
  </si>
  <si>
    <t xml:space="preserve">Dataset-derived (secondary) + Author-constructed (MalCP)</t>
  </si>
  <si>
    <t xml:space="preserve">Public datasets: Backstabbers, Datadog, Mal-OSS. Custom: MalCP dataset with detailed malicious behavior descriptions (partitioned by program size).</t>
  </si>
  <si>
    <t xml:space="preserve">GPT-4o (LLM analysis on attention-guided subgraphs) Llama 3 also used as alternative backbone. K=20 edges for top-K (not top-20 subgraphs).</t>
  </si>
  <si>
    <t xml:space="preserve">Yes: 5 independent trials with 5 different random seeds; average results reported</t>
  </si>
  <si>
    <t xml:space="preserve">GNN-only (92.22%) vs. Full GMLLM (95.62%) -- 43.7% relative error reduction from adding LLM. Structure-only vs. human-rules vs. LLM-rules compared.</t>
  </si>
  <si>
    <t xml:space="preserve">Partial (token reduction only): ~640 tokens per large package (~390x reduction vs. direct GPT-4o ~251K). Explain step: ~10-11s per package. Dollar cost and per-run variance NR.</t>
  </si>
  <si>
    <t xml:space="preserve">Code public: repository stated on the first page (https://github.com/Epiphaniespt/GMLLM.git)</t>
  </si>
  <si>
    <t xml:space="preserve">1/1/2/1/1/1/1</t>
  </si>
  <si>
    <t xml:space="preserve">gao2026gmllm; source fields: label_ground_truth_notes, contamination_notes, ablation_detail, and reproducibility_materials</t>
  </si>
  <si>
    <t xml:space="preserve">MalGuard-USENIX</t>
  </si>
  <si>
    <t xml:space="preserve">Peer-reviewed conference (USENIX Security 2025)</t>
  </si>
  <si>
    <t xml:space="preserve">Dataset-derived (secondary) + Live deployment confirmation (PyPI removal)</t>
  </si>
  <si>
    <t xml:space="preserve">9,664 malicious + 10,000 benign PyPI ecosystem datasets. Real-world deployment: 144 alerts; 113 were manually confirmed malicious, of which 109 had been removed by PyPI; 31 were false positives (31/144 = 21.5% alert-level false-discovery proportion).</t>
  </si>
  <si>
    <t xml:space="preserve">High</t>
  </si>
  <si>
    <t xml:space="preserve">Label-informed feature construction precedes the later 80/20 split: centrality-ranked APIs and GPT-3.5 filtering are built using all malicious packages before classifier splitting. This creates explicit contamination risk for downstream evaluation.</t>
  </si>
  <si>
    <t xml:space="preserve">GPT-3.5-turbo (API filter only; one query per API)</t>
  </si>
  <si>
    <t xml:space="preserve">Orthogonal</t>
  </si>
  <si>
    <t xml:space="preserve">The paper compares raw top-centrality APIs with GPT-3.5-filtered APIs. The filter materially helps NB and removes noise, while RF/XGBoost/SVM/MLP remain comparatively robust; this isolates the filter's contribution but not a universal LLM benefit. GPT-3.5 used for API sensitivity filtering; LIME is a downstream ML model explainer (not LLM-integrated explanation).</t>
  </si>
  <si>
    <t xml:space="preserve">Partial (P/R/F1 per model; raw cells not tabulated)</t>
  </si>
  <si>
    <t xml:space="preserve">Partial (latency only): &lt;1s/pkg detection; &lt;5s training</t>
  </si>
  <si>
    <t xml:space="preserve">Code + data public: Zenodo replication package stated in the paper (https://doi.org/10.5281/zenodo.15545824)</t>
  </si>
  <si>
    <t xml:space="preserve">2/0/2/1/0/2/2</t>
  </si>
  <si>
    <t xml:space="preserve">gao2025malguard; source fields: label_ground_truth_notes, contamination_notes, ablation_detail, and reproducibility_materials</t>
  </si>
  <si>
    <t xml:space="preserve">Dataset-derived + Tool-assisted + Manual validation</t>
  </si>
  <si>
    <t xml:space="preserve">The action-extraction evaluation used 500 code snippets and reported Fleiss kappa=0.8778. Experts consolidated 495 behavioral descriptions into 327 categories. The 304 frequent behavior patterns were mined algorithmically with PrefixSpan plus greedy set cover; they were not all independently expert-vetted.</t>
  </si>
  <si>
    <t xml:space="preserve">The paper describes a random 80/20 partition: 18,137 packages were used for pattern analysis and 4,757 were reserved for unbiased evaluation. It does not report package-level overlap between these partitions, but the split is not chronological; temporal and model-pretraining overlap therefore remain unassessed.</t>
  </si>
  <si>
    <t xml:space="preserve">GPT-4.1; GPT-4.1-mini; text-embedding-3-large</t>
  </si>
  <si>
    <t xml:space="preserve">LLM-only vs. LLM+Knowledge (Table 7); open-source LLM substitution (Table 8). LLM contribution partially isolatable.</t>
  </si>
  <si>
    <t xml:space="preserve">Partial (accuracy/precision/recall and FP/FN are reported; all raw TP/FP/TN/FN cells are not tabulated together)</t>
  </si>
  <si>
    <t xml:space="preserve">Yes (cost + latency): about $0.023 per package and 34.09 seconds per package for full detection; $126 one-time offline behavior summarization cost is reported separately.</t>
  </si>
  <si>
    <t xml:space="preserve">Code + data public: Zenodo replication package stated in the paper (https://doi.org/10.5281/zenodo.17929520)</t>
  </si>
  <si>
    <t xml:space="preserve">2/1/2/1/0/1/2</t>
  </si>
  <si>
    <t xml:space="preserve">guo2026pyguard; source fields: label_ground_truth_notes, contamination_notes, ablation_detail, and reproducibility_materials</t>
  </si>
  <si>
    <t xml:space="preserve">Peer-reviewed journal (IEEE TIFS 2025; DOI 10.1109/TIFS.2025.3580336)</t>
  </si>
  <si>
    <t xml:space="preserve">Author-collected (6,789 candidates -&gt; 3-stage: dedup + 3-person cross-validation + consensus -&gt; 3,258 malicious) + Dataset-derived (benign top-5,000 downloads)</t>
  </si>
  <si>
    <t xml:space="preserve">NPM packages from public datasets. LLM-generated 22 features across 7 categories.</t>
  </si>
  <si>
    <t xml:space="preserve">The feature set and extractor were constructed using all malicious samples before downstream model evaluation. The authors state that complete independence between training and test sets cannot be guaranteed; four-fold cross-validation of the classifier does not remove this feature-construction leakage.</t>
  </si>
  <si>
    <t xml:space="preserve">GPT-3.5 (feature generation only)</t>
  </si>
  <si>
    <t xml:space="preserve">No ablation of LLM feature generation component. Different classifiers compared but with same LLM-generated features.</t>
  </si>
  <si>
    <t xml:space="preserve">Partial (latency only): 1,877 s training (RF classifier); 0.25 s/package detection (LLM NOT used during inference)</t>
  </si>
  <si>
    <t xml:space="preserve">Code + data public: the paper provides the MalPacDetector source repository and MalnpmDB</t>
  </si>
  <si>
    <t xml:space="preserve">2/1/2/1/0/0/2</t>
  </si>
  <si>
    <t xml:space="preserve">wang2025malpac; source fields: label_ground_truth_notes, contamination_notes, ablation_detail, and reproducibility_materials</t>
  </si>
  <si>
    <t xml:space="preserve">Peer-reviewed conference (ACM ISSTA 2024; DOI 10.1145/3650212.3680397)</t>
  </si>
  <si>
    <t xml:space="preserve">Dataset-derived (secondary) + Manual verification</t>
  </si>
  <si>
    <t xml:space="preserve">NPM packages. Cross-language malicious function translation via LLM. 61 NPM thanks letters as partial ground truth.</t>
  </si>
  <si>
    <t xml:space="preserve">GPT-3.5-turbo; DeepSeek-Coder; Gemini-1.0-pro (code translation)</t>
  </si>
  <si>
    <t xml:space="preserve">Yes: 10-fold stratified CV repeated 10 times with averaged results</t>
  </si>
  <si>
    <t xml:space="preserve">Component (Table 2: detector-component ablation for gadget extraction components)</t>
  </si>
  <si>
    <t xml:space="preserve">Table 2 reports 3 component-level ablation results: transitive call removal (-2.0pp F1), community detection removal (-0.6pp), graph structure feature removal (-3.8pp). 10-fold stratified CV with 10 experiment repetitions.</t>
  </si>
  <si>
    <t xml:space="preserve">2/1/2/1/1/1/1</t>
  </si>
  <si>
    <t xml:space="preserve">yu2024maltracker; source fields: label_ground_truth_notes, contamination_notes, ablation_detail, and reproducibility_materials</t>
  </si>
  <si>
    <t xml:space="preserve">RuleLLM</t>
  </si>
  <si>
    <t xml:space="preserve">Peer-reviewed conference (IEEE/IFIP DSN 2025; DOI 10.1109/DSN64029.2025.00072)</t>
  </si>
  <si>
    <t xml:space="preserve">1,633 deduplicated malicious PyPI packages from GuardDog dataset.</t>
  </si>
  <si>
    <t xml:space="preserve">No chronological split. About 78% of samples released after GPT-4o Oct 2023 training cutoff. seed=42 applies only to non-LLM K-means clustering, not to LLM generation.</t>
  </si>
  <si>
    <t xml:space="preserve">GPT-4o (primary rule generation/refinement; exact API snapshot not reported)</t>
  </si>
  <si>
    <t xml:space="preserve">Component/framework-step ablation</t>
  </si>
  <si>
    <t xml:space="preserve">LLM alone -&gt; +Rule Alignment -&gt; +Basic-unit Rule -&gt; Full RuleLLM is quantified. These comparisons isolate framework stages while retaining an LLM in every condition; they do not isolate LLM presence versus a non-LLM alternative.</t>
  </si>
  <si>
    <t xml:space="preserve">Partial (P/R per stage; raw cells not tabulated)</t>
  </si>
  <si>
    <t xml:space="preserve">Code public: repository stated in the paper (https://github.com/zhang-xr/RuleLLM)</t>
  </si>
  <si>
    <t xml:space="preserve">1/1/1/1/0/1/1</t>
  </si>
  <si>
    <t xml:space="preserve">zhang2025rulellm; source fields: label_ground_truth_notes, contamination_notes, ablation_detail, and reproducibility_materials</t>
  </si>
  <si>
    <t xml:space="preserve">Peer-reviewed conference (ACM/IEEE ASE 2024; DOI 10.1145/3691620.3695492)</t>
  </si>
  <si>
    <t xml:space="preserve">NPM packages from public datasets. 70 NPM thanks letters as partial ground truth. 2,775 initial malicious -&gt; 3-step dedup (grey literature + public datasets + dedup) -&gt; 364 unique packages (120 obfuscated + 244 non-obfuscated).</t>
  </si>
  <si>
    <t xml:space="preserve">ChatGPT-3.5 (exact snapshot not reported); no GPT-4 model is used in the reported system</t>
  </si>
  <si>
    <t xml:space="preserve">Component partially</t>
  </si>
  <si>
    <t xml:space="preserve">Table 16 reports three component removals for the graph-based detector, while prompt examples/context are also tested for the ChatGPT-3.5 shell-command task. These are component or prompt ablations; they do not remove the LLM while preserving an equal non-LLM alternative.</t>
  </si>
  <si>
    <t xml:space="preserve">Yes (95% CI reported for API sensitivity classification: [0.814,0.888] for built-in APIs; [0.792,0.868] for third-party APIs; Table 9)</t>
  </si>
  <si>
    <t xml:space="preserve">Partial (cost only): $26 total ChatGPT-3.5 usage over three months of operation; no per-package API cost is reported.</t>
  </si>
  <si>
    <t xml:space="preserve">2/1/1/1/1/1/0</t>
  </si>
  <si>
    <t xml:space="preserve">Reproducibility</t>
  </si>
  <si>
    <t xml:space="preserve">huang2024spiderscan; source fields: label_ground_truth_notes, contamination_notes, ablation_detail, and reproducibility_materials</t>
  </si>
  <si>
    <t xml:space="preserve">Semantic Fusion</t>
  </si>
  <si>
    <t xml:space="preserve">Preprint / no formal venue recorded in the exports</t>
  </si>
  <si>
    <t xml:space="preserve">PyPI packages from MalGuard and Guo et al. datasets. Multi-source features (graph centrality + metadata). Data from Duan et al., Ohm et al., Guo et al. datasets (10,743 unique malicious after dedup).</t>
  </si>
  <si>
    <t xml:space="preserve">The paper reports a package-name-level random 80/20 split, and Figure 2 depicts feature construction from the training dataset. No chronological split is reported, and the implementation order is not specified in enough detail to infer pre-split leakage.</t>
  </si>
  <si>
    <t xml:space="preserve">GPT-3.5-turbo (API semantic filter)</t>
  </si>
  <si>
    <t xml:space="preserve">Raw centrality F1 91.7% -&gt; LLM-refined centrality F1 95.8% -&gt; +metadata F1 97.3%. This partially isolates the LLM-filtered feature pipeline, but the feature representation changes at the same time; it is not a pure LLM-only causal comparison.</t>
  </si>
  <si>
    <t xml:space="preserve">Partial (latency only): &lt;1s/~1.0s per package; dollar cost NR</t>
  </si>
  <si>
    <t xml:space="preserve">1/0/2/1/0/1/0</t>
  </si>
  <si>
    <t xml:space="preserve">Temporal/contamination control; Uncertainty/repetition; Reproducibility</t>
  </si>
  <si>
    <t xml:space="preserve">wang2026decoding; source fields: label_ground_truth_notes, contamination_notes, ablation_detail, and reproducibility_materials</t>
  </si>
  <si>
    <t xml:space="preserve">AutoEnvExtract</t>
  </si>
  <si>
    <t xml:space="preserve">Peer-reviewed conference (ACM FSE 2025; DOI 10.1145/3696630.3730568)</t>
  </si>
  <si>
    <t xml:space="preserve">Threat intelligence (PyPI blog) + Case study (dynamic Docker/network confirmation)</t>
  </si>
  <si>
    <t xml:space="preserve">Single aiocpa case study: PyPI blog threat intelligence report used as label source; Docker container + network monitoring used for dynamic behavioral confirmation.</t>
  </si>
  <si>
    <t xml:space="preserve">Single case study; no systematic evaluation. Short paper (4 pages).</t>
  </si>
  <si>
    <t xml:space="preserve">Claude 3.7 (parameter extraction)</t>
  </si>
  <si>
    <t xml:space="preserve">No ablation study reported.</t>
  </si>
  <si>
    <t xml:space="preserve">1/0/2/0/0/0/0</t>
  </si>
  <si>
    <t xml:space="preserve">Temporal/contamination control; Outcome reporting; Uncertainty/repetition; Component isolation; Reproducibility</t>
  </si>
  <si>
    <t xml:space="preserve">guo2025autoenv; source fields: label_ground_truth_notes, contamination_notes, ablation_detail, and reproducibility_materials</t>
  </si>
  <si>
    <t xml:space="preserve">Preprint (arXiv:2607.03350)</t>
  </si>
  <si>
    <t xml:space="preserve">Dataset-derived (secondary) + Registry removal</t>
  </si>
  <si>
    <t xml:space="preserve">PyPI packages. 19/32 real-world reports confirmed by PyPI.</t>
  </si>
  <si>
    <t xml:space="preserve">Exact LLM used for H2GLM semantic type inference is not reported; Qwen2.5-7B, Llama3-8B, Qwen3-14B, and DeepSeek-R1-70B are evaluated as direct LLM baselines</t>
  </si>
  <si>
    <t xml:space="preserve">Removing the phi_LLM(v)-guided semantic component lowers F1 from 97.12% to 92.32% (-4.80 pp). This isolates the contribution of an LLM-guided semantic component within the pipeline, not LLM presence under a same-representation non-LLM replacement.</t>
  </si>
  <si>
    <t xml:space="preserve">Code + data public: replication package stated on the first page (https://github.com/xxy33/malware)</t>
  </si>
  <si>
    <t xml:space="preserve">2/1/0/1/0/1/2</t>
  </si>
  <si>
    <t xml:space="preserve">Model identifiability; Uncertainty/repetition</t>
  </si>
  <si>
    <t xml:space="preserve">gao2026h2glm; source fields: label_ground_truth_notes, contamination_notes, ablation_detail, and reproducibility_materials</t>
  </si>
  <si>
    <t xml:space="preserve">Authoritative security databases + Multi-source confirmation + Manual validation</t>
  </si>
  <si>
    <t xml:space="preserve">34,313 malicious package names: 29,485 verified through authoritative security databases, 3,868 confirmed by multiple independent sources, and 960 manually verified; 916 candidates were judged benign. GPT-4o performs entity extraction with a three-stage CoT pipeline.</t>
  </si>
  <si>
    <t xml:space="preserve">Not applicable (intelligence collection; not detection)</t>
  </si>
  <si>
    <t xml:space="preserve">Intelligence collection platform; no detection evaluation. Different task category.</t>
  </si>
  <si>
    <t xml:space="preserve">GPT-4o (entity extraction with 3-stage CoT)</t>
  </si>
  <si>
    <t xml:space="preserve">Yes (GPT-4o temperature=0 and top_p=0.3; three-stage CoT and few-shot prompt design reported; random seed not reported)</t>
  </si>
  <si>
    <t xml:space="preserve">No system component ablation (evaluation of entity extraction accuracy only). 50 post-2025-01-01 webpages used as temporal holdout. Table 3 reports prompt ablation: CoT-only 93.10%, few-shot-only 73.68%, CoT+few-shot 94.87%. 83.7% and 85.9% use different denominators (all 34,313 entries vs. only the verified subset).</t>
  </si>
  <si>
    <t xml:space="preserve">Partial (P/R/F1 for entity extraction; no detection confusion matrix)</t>
  </si>
  <si>
    <t xml:space="preserve">Yes (cost only): $0.003 per intelligence piece</t>
  </si>
  <si>
    <t xml:space="preserve">Partial (the paper states that the malicious-package intelligence database is publicly accessible; a complete code/data replication artifact is not identified)</t>
  </si>
  <si>
    <t xml:space="preserve">2/2/2/1/0/0/1</t>
  </si>
  <si>
    <t xml:space="preserve">guo2026intelliradar; source fields: label_ground_truth_notes, contamination_notes, ablation_detail, and reproducibility_materials</t>
  </si>
  <si>
    <t xml:space="preserve">NPM Benchmark</t>
  </si>
  <si>
    <t xml:space="preserve">Preprint (arXiv:2603.27549)</t>
  </si>
  <si>
    <t xml:space="preserve">6,420 malicious + 7,288 benign NPM packages annotated with 11 behavior categories and 8 evasion techniques.</t>
  </si>
  <si>
    <t xml:space="preserve">Temporal evaluation by year (2020-2025), not a chronological train/test split</t>
  </si>
  <si>
    <t xml:space="preserve">Underlying data 2011-2025 (6,149/6,420 malicious packages within 2021-2025)</t>
  </si>
  <si>
    <t xml:space="preserve">The benchmark performs year-based temporal evaluation but reuses BKC, DONAPI, DataDog, MalOSS, and Maltracker sources. For evaluated tools trained on overlapping corpora, overlap risk is at least Medium; a global Low rating is not supportable.</t>
  </si>
  <si>
    <t xml:space="preserve">Taxonomy/context summarization: LLM (exact model NR, used only for behavior summarization); Sentence-BERT all-mpnet-base-v2 for clustering; GPT-4.1-mini via SocketAI as one of 8 evaluated tools</t>
  </si>
  <si>
    <t xml:space="preserve">Evaluation study; no system components to ablate.</t>
  </si>
  <si>
    <t xml:space="preserve">Partial (P/R/F1 for tool variants are reported; the supplied core PDF does not tabulate all raw TP/FP/TN/FN cells)</t>
  </si>
  <si>
    <t xml:space="preserve">Partial (latency per tool; no dollar cost)</t>
  </si>
  <si>
    <t xml:space="preserve">Code + dataset public: Figshare DOI 10.6084/m9.figshare.31869370</t>
  </si>
  <si>
    <t xml:space="preserve">2/0/0/1/0/0/2</t>
  </si>
  <si>
    <t xml:space="preserve">Temporal/contamination control; Model identifiability; Uncertainty/repetition; Component isolation</t>
  </si>
  <si>
    <t xml:space="preserve">guo2026npmbenchmark; source fields: label_ground_truth_notes, contamination_notes, ablation_detail, and reproducibility_materials</t>
  </si>
  <si>
    <t xml:space="preserve">GENTTP</t>
  </si>
  <si>
    <t xml:space="preserve">Preprint (arXiv:2407.08532 v1; 2024-07-11)</t>
  </si>
  <si>
    <t xml:space="preserve">Manual expert review + security-report-derived ground truth</t>
  </si>
  <si>
    <t xml:space="preserve">The reference evaluation covers 54 security reports and 365 PyPI malware packages. An LLM extracts candidate TTPs from reports and a manual assistant checks mappings, false positives, and package code.</t>
  </si>
  <si>
    <t xml:space="preserve">Not applicable (zero-shot; no task-specific training split)</t>
  </si>
  <si>
    <t xml:space="preserve">Security reports and malware collected before the arXiv v1 release; exact collection interval is not reported.</t>
  </si>
  <si>
    <t xml:space="preserve">No task-specific training is performed, but overlap between public reports or packages and the LLMs' pre-training data is not assessed.</t>
  </si>
  <si>
    <t xml:space="preserve">GPT-4 gpt4-0613 (primary); GPT-3.5-turbo-0613; LLaMA2; QWen-72B; Gemini Pro</t>
  </si>
  <si>
    <t xml:space="preserve">Prompt templates and the primary GPT-4/GPT-3.5 snapshots are reported; generation seed and temperature are not reported.</t>
  </si>
  <si>
    <t xml:space="preserve">No independent repetitions; the paper explicitly notes LLM non-determinism and inconsistent results.</t>
  </si>
  <si>
    <t xml:space="preserve">Five LLMs are compared under the GENTTP pipeline, but model family and capacity change together. No removal of task decomposition, prompting, or the package-content agent is reported.</t>
  </si>
  <si>
    <t xml:space="preserve">Partial (coverage rate and sequence accuracy are reported by source and model; per-package outcome cells and false-negative counts are unavailable)</t>
  </si>
  <si>
    <t xml:space="preserve">Partial (application access): datasets are described as available through a private GitHub repository; a ChatTTP web demo is linked; public code is not reported.</t>
  </si>
  <si>
    <t xml:space="preserve">2/1/2/1/0/1/1</t>
  </si>
  <si>
    <t xml:space="preserve">Zhang et al. arXiv:2407.08532v1, pp.7-10; Fig.6; Tables IV-VII; Evaluation Sections VI.A-VI.E.</t>
  </si>
  <si>
    <t xml:space="preserve">Peer-reviewed conference (IEEE/ACM AIware 2025; DOI 10.1109/AIware69974.2025.00008)</t>
  </si>
  <si>
    <t xml:space="preserve">500 malicious + 2,500 benign PyPI packages. Malicious from pypi_malregistry; benign from newly published (Jul-Sep 2025).</t>
  </si>
  <si>
    <t xml:space="preserve">No train/test split; class-conditional source/time sampling</t>
  </si>
  <si>
    <t xml:space="preserve">Malicious: historical pypi_malregistry snapshot. Benign: packages randomly sampled from releases in July-September 2025.</t>
  </si>
  <si>
    <t xml:space="preserve">Class and time/source are confounded: malicious examples come from a historical malicious registry, while benign examples are newly released packages sampled in July-September 2025. Benign labels are assumed rather than independently adjudicated.</t>
  </si>
  <si>
    <t xml:space="preserve">Qwen3:32B (Supervisor); Qwen3:8B (Workers); Gemma3:4B (structured output)</t>
  </si>
  <si>
    <t xml:space="preserve">A qualitative single-agent baseline is discussed, but models/tool allocations and inference budgets are not equalized. Retry results are CHASE@1 recall 0.98400, CHASE@2 recall 0.99598, and CHASE@3 precision 1.00000 with recall 0.99797.</t>
  </si>
  <si>
    <t xml:space="preserve">Yes (Table I reports complete counts per configuration, including timeout/error columns)</t>
  </si>
  <si>
    <t xml:space="preserve">Partial (latency only): 272.68s median/pkg; no dollar cost</t>
  </si>
  <si>
    <t xml:space="preserve">Partial: project page (https://t0d4.github.io/CHASE-AIware25/) described; GitHub not stated</t>
  </si>
  <si>
    <t xml:space="preserve">1/0/2/2/0/1/1</t>
  </si>
  <si>
    <t xml:space="preserve">toda2026chase; source fields: label_ground_truth_notes, contamination_notes, ablation_detail, and reproducibility_materials</t>
  </si>
  <si>
    <t xml:space="preserve">Preprint (arXiv:2606.19063)</t>
  </si>
  <si>
    <t xml:space="preserve">9,408 malicious PyPI from Guo et al. + 14,005 benign (9,005 Gao et al. + 5,000 popular).</t>
  </si>
  <si>
    <t xml:space="preserve">The offline knowledge base is constructed from known malicious packages and the evaluation malicious set contains the 9,408-package Guo et al. corpus. The paper does not document a disjoint KB/evaluation split, so overlap is a high potential risk rather than a proven leakage event.</t>
  </si>
  <si>
    <t xml:space="preserve">GPT5nano (agent workflow)</t>
  </si>
  <si>
    <t xml:space="preserve">KB removal: F1 drops from 98.1% -&gt; 95.0% (3.1pp). LLM model substitution (Table V). KB-test overlap uncharacterized limits ablation interpretability.</t>
  </si>
  <si>
    <t xml:space="preserve">Partial (latency only): reported batch configurations correspond to approximately 18.0-22.8 seconds per package; dollar cost is not reported.</t>
  </si>
  <si>
    <t xml:space="preserve">Code public: Zenodo DOI 10.5281/zenodo.19342665</t>
  </si>
  <si>
    <t xml:space="preserve">1/0/2/1/0/1/1</t>
  </si>
  <si>
    <t xml:space="preserve">pang2026pypiline; source fields: label_ground_truth_notes, contamination_notes, ablation_detail, and reproducibility_materials</t>
  </si>
  <si>
    <t xml:space="preserve">Peer-reviewed journal (Journal of Systems and Software 2026; DOI 10.1016/j.jss.2026.112792)</t>
  </si>
  <si>
    <t xml:space="preserve">D1: 6,000 setup.py files (3,000 malicious + 3,000 benign). D2: 1,296 files (274 malicious + 1,022 benign) from 507 packages. Benign: 3,000 high-download-count PyPI packages, manually collected and verified clean by authors.</t>
  </si>
  <si>
    <t xml:space="preserve">No chronological split. D2 shows natural class imbalance (21.1% malicious) but no temporal isolation.</t>
  </si>
  <si>
    <t xml:space="preserve">LLaMA-3 (agents); fine-tuned CodeBERT (classifier)</t>
  </si>
  <si>
    <t xml:space="preserve">Yes (fixed seeds reported; exact seeds and package details are provided in the replication package)</t>
  </si>
  <si>
    <t xml:space="preserve">Yes (fixed-seed repetitions are reported)</t>
  </si>
  <si>
    <t xml:space="preserve">The full D2 evaluation reports high class-level performance. A separate constrained RQ3 comparison reports LAMPS F1=0.572 versus SA-Concat/SA-TopK about 0.255/0.258; this RQ3 result must not be presented as the full D2 system score.</t>
  </si>
  <si>
    <t xml:space="preserve">Partial (class-level precision/recall/F1 and accuracy are reported; full raw TP/FP/TN/FN cells are not enumerated)</t>
  </si>
  <si>
    <t xml:space="preserve">Yes (mean and standard deviation reported across fixed-seed runs; exact run details in replication package)</t>
  </si>
  <si>
    <t xml:space="preserve">Partial (latency per agent; no dollar cost)</t>
  </si>
  <si>
    <t xml:space="preserve">Code + replication materials public: GitHub repository with exact seeds and package details. Data availability statement in paper is internally inconsistent with described dataset sources -- UNCERTAIN.</t>
  </si>
  <si>
    <t xml:space="preserve">1/1/2/1/2/1/2</t>
  </si>
  <si>
    <t xml:space="preserve">zeshan2026lamps; source fields: label_ground_truth_notes, contamination_notes, ablation_detail, and reproducibility_materials</t>
  </si>
  <si>
    <t xml:space="preserve">Peer-reviewed conference chapter (ML4CS 2025; LNCS 16456, published 2026; DOI 10.1007/978-981-95-7820-7_5)</t>
  </si>
  <si>
    <t xml:space="preserve">ConfuDB and NeupaneDB datasets for package confusion detection.</t>
  </si>
  <si>
    <t xml:space="preserve">No chronological split. Package confusion detection -- different task from malicious code detection.</t>
  </si>
  <si>
    <t xml:space="preserve">LLM used by the Orchestrator and Threat Analyst; exact model name/snapshot not reported. FastText cc.en.300.bin is separately fine-tuned on 10,015,794 package names across 34 ecosystems.</t>
  </si>
  <si>
    <t xml:space="preserve">DTM robustness is evaluated using recall drop, ΔRecall = Recall_clean - Recall_adversarial. The vulnerable configuration has drops of 0.33 on ConfuDB and 0.58 on NeupaneDB; AgentGuard has drops of 0.46 and 0.15, respectively. These are recall-drop values, not before/after recall scores. No single-agent/multi-agent or LLM/non-LLM ablation is reported.</t>
  </si>
  <si>
    <t xml:space="preserve">Partial: project site (not GitHub)</t>
  </si>
  <si>
    <t xml:space="preserve">1/1/0/1/0/1/1</t>
  </si>
  <si>
    <t xml:space="preserve">ma2025agentguard; source fields: label_ground_truth_notes, contamination_notes, ablation_detail, and reproducibility_materials</t>
  </si>
  <si>
    <t xml:space="preserve">Preprint (arXiv:2607.13965)</t>
  </si>
  <si>
    <t xml:space="preserve">NPM packages: 107,287 real-world deployment over 3 months. 597 TP confirmed removed. Benchmark: 13,467 initial -&gt; 1,658 after package/file dedup -&gt; 1,090 after manual curation, + 3,000 benign (4,090 total).</t>
  </si>
  <si>
    <t xml:space="preserve">Not reported (real-world deployment has inherent temporality)</t>
  </si>
  <si>
    <t xml:space="preserve">Benchmark collection period not fully specified; real-world monitoring ran from April 2026 through June 2026.</t>
  </si>
  <si>
    <t xml:space="preserve">Low (deployment)</t>
  </si>
  <si>
    <t xml:space="preserve">Real-world deployment evaluation with inherent temporal ordering. Lab evaluation on balanced split without chronological isolation.</t>
  </si>
  <si>
    <t xml:space="preserve">DeepSeek-V4-Flash (default for all LLM tasks); GPT-5.4-mini and Qwen-3.6-Flash evaluated as alternative backbones</t>
  </si>
  <si>
    <t xml:space="preserve">Partial (benchmark P/R/F1 and real-world flagged/confirmed counts are reported; a complete population TP/FP/TN/FN matrix is not available)</t>
  </si>
  <si>
    <t xml:space="preserve">Yes (total evaluation cost + per-package latency): $67.45 total cost over the evaluation dataset; 394.37 seconds average end-to-end time per package.</t>
  </si>
  <si>
    <t xml:space="preserve">Code public: repository stated in the paper (https://github.com/yiheng98/ProfMalPlus)</t>
  </si>
  <si>
    <t xml:space="preserve">2/2/2/1/0/1/1</t>
  </si>
  <si>
    <t xml:space="preserve">huang2026profmalplus; source fields: label_ground_truth_notes, contamination_notes, ablation_detail, and reproducibility_materials</t>
  </si>
  <si>
    <t xml:space="preserve">Accepted conference paper (ISSTA 2026; arXiv:2608.03232v1)</t>
  </si>
  <si>
    <t xml:space="preserve">Manual review + multi-source benchmark datasets + repository confirmation</t>
  </si>
  <si>
    <t xml:space="preserve">Multi-Lang-Bench contains 6,444 PyPI packages (3,188 malicious; 3,256 benign), 9,545 npm packages (3,438 malicious; 6,107 benign), and 596 Java/PHP/Go repositories. The large-scale study manually confirmed reported malicious repositories.</t>
  </si>
  <si>
    <t xml:space="preserve">Partial; a 260-package subset published after January 2025 is evaluated separately</t>
  </si>
  <si>
    <t xml:space="preserve">Benchmark sources extend through 2025; 260 packages postdate January 2025; 120,000 GitHub repositories were screened in the large-scale study</t>
  </si>
  <si>
    <t xml:space="preserve">No task-specific model training is reported. A post-January-2025 subset is used to probe pre-training overlap, although exact model snapshots and corpus boundaries remain unavailable.</t>
  </si>
  <si>
    <t xml:space="preserve">DeepSeek-V3 (primary; exact snapshot not reported); GPT-4o; GPT-3.5 Turbo; Claude 4 Sonnet; Gemini 3 Pro</t>
  </si>
  <si>
    <t xml:space="preserve">Prompt structure, few-shot examples, chain-of-thought instruction, and JSON output schema are described; temperature and seed are not reported</t>
  </si>
  <si>
    <t xml:space="preserve">No independent repeated runs</t>
  </si>
  <si>
    <t xml:space="preserve">Removing third-party-library API identification or hybrid slicing reduces performance. Across five languages, the full system averages F1 93.1% versus 91.2% without slicing; the 2,168-repository experiment reports a 94.0% token reduction.</t>
  </si>
  <si>
    <t xml:space="preserve">Partial (precision, recall, F1, and sample denominators are reported; complete TP/FP/TN/FN cells are not tabulated for every evaluation)</t>
  </si>
  <si>
    <t xml:space="preserve">Yes (token use and monetary cost for the 2,168-repository and 120,000-repository studies)</t>
  </si>
  <si>
    <t xml:space="preserve">Code and data public: https://github.com/security-pride/MalTotal</t>
  </si>
  <si>
    <t xml:space="preserve">2/2/1/1/0/1/2</t>
  </si>
  <si>
    <t xml:space="preserve">Uncertainty/repetition; Complete outcome cells; Exact model snapshots</t>
  </si>
  <si>
    <t xml:space="preserve">Zhao et al., arXiv:2608.03232v1, Abstract; Sections 3-5; Tables 2-5; Figures 4-8; artifact link</t>
  </si>
  <si>
    <t xml:space="preserve">Peer-reviewed journal article (Information Fusion 138 (2027) 104698; DOI 10.1016/j.inffus.2026.104698; online 2026-08-09)</t>
  </si>
  <si>
    <t xml:space="preserve">Multi-source collection + manual screening</t>
  </si>
  <si>
    <t xml:space="preserve">The balanced corpus contains 10,190 malicious and 10,000 benign PyPI packages assembled from multiple public sources and manual screening.</t>
  </si>
  <si>
    <t xml:space="preserve">Random 80/20 split with five-fold cross-validation</t>
  </si>
  <si>
    <t xml:space="preserve">The 293-API sensitive list is built from all malicious samples before downstream cross-validation and is then held fixed. The paper acknowledges dependence between prior-knowledge construction and evaluation samples.</t>
  </si>
  <si>
    <t xml:space="preserve">DeepSeek-R1 and GPT-5 for offline sensitive-API verification; exact snapshots not reported</t>
  </si>
  <si>
    <t xml:space="preserve">No (prompt text, temperature, and seed not reported)</t>
  </si>
  <si>
    <t xml:space="preserve">Five-fold cross-validation; no independent repeated runs</t>
  </si>
  <si>
    <t xml:space="preserve">Metadata, code, API-call-graph, control-flow-graph, and fusion components are ablated. No matched removal or non-LLM replacement isolates the contribution of LLM-based API verification.</t>
  </si>
  <si>
    <t xml:space="preserve">Partial (accuracy, precision, recall, F1, and AUC are reported; raw TP/FP/TN/FN cells are not tabulated)</t>
  </si>
  <si>
    <t xml:space="preserve">No confidence intervals or across-run variance</t>
  </si>
  <si>
    <t xml:space="preserve">No LLM construction cost reported</t>
  </si>
  <si>
    <t xml:space="preserve">Data available from the authors on reasonable request; public code not reported</t>
  </si>
  <si>
    <t xml:space="preserve">2/0/1/1/0/1/1</t>
  </si>
  <si>
    <t xml:space="preserve">Temporal/contamination control; Uncertainty/repetition; Complete outcome cells; Exact model snapshots</t>
  </si>
  <si>
    <t xml:space="preserve">Yan and Zhao, Information Fusion 138 (2027) 104698, Sections 3-5; Tables 3-9; Figures 2-8; data-availability statement</t>
  </si>
  <si>
    <t xml:space="preserve">Peer-reviewed journal article (JKSUCIS 38 (2026) 695; DOI 10.1007/s44443-026-01121-7)</t>
  </si>
  <si>
    <t xml:space="preserve">Multi-source datasets + manual review + registry-confirmed live deployment</t>
  </si>
  <si>
    <t xml:space="preserve">MalnpmDB contains 4,051 benign and 3,258 malicious npm packages. Rule construction uses approximately 3,000 malicious samples with dual manual review. In live monitoring, 152 reported packages were confirmed and removed.</t>
  </si>
  <si>
    <t xml:space="preserve">Four-fold stratified cross-validation plus a prospective 10-day live deployment</t>
  </si>
  <si>
    <t xml:space="preserve">Live npm monitoring ran from 2025-09-27 to 2025-10-06; benchmark collection period is not fully reported</t>
  </si>
  <si>
    <t xml:space="preserve">The RuleDB construction sample is drawn from public malicious-package datasets and its overlap with the cross-validation corpus is not isolated. The live deployment is temporally ordered but does not resolve benchmark dependence.</t>
  </si>
  <si>
    <t xml:space="preserve">Qwen2.5-Coder-32B-Instruct, DeepSeek-V3, and GPT-4o; exact hosted snapshots not reported</t>
  </si>
  <si>
    <t xml:space="preserve">Rule-generation procedure and review process are described; generation temperature and seed are not reported</t>
  </si>
  <si>
    <t xml:space="preserve">Four-fold stratified cross-validation with fold standard deviations; no independent repeated runs</t>
  </si>
  <si>
    <t xml:space="preserve">LLM-generated rule libraries are compared with two manual rule sets, and graph/rule feature components are ablated. Model choice, generated rule content, and manual review remain jointly varied.</t>
  </si>
  <si>
    <t xml:space="preserve">Yes (accuracy, precision, recall, F1, and fold standard deviations; external and live-validation counts are also reported)</t>
  </si>
  <si>
    <t xml:space="preserve">Yes (cross-validation standard deviations)</t>
  </si>
  <si>
    <t xml:space="preserve">Yes (mean 7.6 seconds per package in the live deployment)</t>
  </si>
  <si>
    <t xml:space="preserve">No public code or reusable dataset artifact reported</t>
  </si>
  <si>
    <t xml:space="preserve">2/0/1/2/1/1/0</t>
  </si>
  <si>
    <t xml:space="preserve">Temporal/contamination control; Reproducibility; Exact model snapshots</t>
  </si>
  <si>
    <t xml:space="preserve">Bai et al., JKSUCIS 38 (2026) 695, Sections 3-5; Tables 4-10; Figures 2-12; live-deployment analysis</t>
  </si>
  <si>
    <t xml:space="preserve">role_or_category</t>
  </si>
  <si>
    <t xml:space="preserve">necessary_condition</t>
  </si>
  <si>
    <t xml:space="preserve">exclusion_condition</t>
  </si>
  <si>
    <t xml:space="preserve">primary_role_tie_break</t>
  </si>
  <si>
    <t xml:space="preserve">The LLM output directly determines a malicious/benign, category, indicator, or risk judgment used as the evaluated verdict.</t>
  </si>
  <si>
    <t xml:space="preserve">The LLM only creates an artifact consumed by another fixed detector, or only selects/delegates tools.</t>
  </si>
  <si>
    <t xml:space="preserve">Choose Adjudicator when the evaluated endpoint changes directly with the LLM verdict and no downstream learned/fixed consumer owns the final label.</t>
  </si>
  <si>
    <t xml:space="preserve">The LLM creates rules, features, labels, summaries, knowledge, examples, or intelligence records evaluated through a downstream consumer.</t>
  </si>
  <si>
    <t xml:space="preserve">The LLM directly owns the final verdict without an intermediate artifact, or only controls workflow order.</t>
  </si>
  <si>
    <t xml:space="preserve">Choose Constructor when the durable/intermediate artifact, rather than the LLM verdict itself, is the primary object reused by the detector.</t>
  </si>
  <si>
    <t xml:space="preserve">The LLM selects tools, requests evidence, delegates subtasks, controls retries, or aggregates multiple analytical actors.</t>
  </si>
  <si>
    <t xml:space="preserve">A fixed pipeline calls one LLM once without LLM-controlled planning/delegation.</t>
  </si>
  <si>
    <t xml:space="preserve">Choose Orchestrator when workflow control is necessary for the reported system behavior; record verdict or artifact generation as a secondary role.</t>
  </si>
  <si>
    <t xml:space="preserve">Mechanisms</t>
  </si>
  <si>
    <t xml:space="preserve">Prompting, RAG, SFT, and agent-control frameworks describe implementation.</t>
  </si>
  <si>
    <t xml:space="preserve">They are never role labels by themselves.</t>
  </si>
  <si>
    <t xml:space="preserve">Assign role from the output/control responsibility, then record every applicable mechanism separately.</t>
  </si>
  <si>
    <t>1.4.2</t>
  </si>
  <si>
    <t>Not reported for the focal MalGuard pipeline, which uses a random 80/20 split; Study 2 trains conventional and earlier neural baselines on 2021–2022 data and tests them on 2023 and 2024 data</t>
  </si>
  <si>
    <t>Study 2: 2021–2022 training, with separate 2023 and 2024 tests; focal MalGuard evaluation: random 80/20 split, package dates not reported</t>
  </si>
  <si>
    <t>For the focal MalGuard pipeline, label-informed feature construction precedes the random 80/20 split: centrality-ranked APIs and GPT-3.5 filtering are built using all malicious packages before classifier splitting. Study 2's chronological baseline experiment does not apply to this focal pipeline.</t>
  </si>
  <si>
    <t>Models A and C use the same training and test sets and the same Random Forest. Model A uses raw top-500 centrality features; Model C adds LLM semantic filtering. The feature-content difference is the output of the tested component rather than a confounder. Construction timing and possible data overlap are assessed separately.</t>
  </si>
  <si>
    <t>1/0/2/1/0/2/0</t>
  </si>
  <si>
    <t>Across 14 primary Constructor studies, 4 have component-isolation score 0, 8 score 1, and 2 score 2. S_MALGUARD_USENIX compares raw top-centrality APIs with GPT-3.5-filtered APIs while holding the downstream classifiers and evaluation fixed. S_R017 compares the same Random Forest on fixed training and test sets using raw centrality and LLM-filtered features. Other component comparisons either vary configurations within a retained component or leave non-target elements unmatched.</t>
  </si>
  <si>
    <t>S_MALGUARD_USENIX and S_R017 provide orthogonal comparisons within their evaluated designs and therefore preclude an absolute claim that no Constructor component is isolated.</t>
  </si>
  <si>
    <t>Among 14 primary Constructors, 4 report no component comparison, 8 retain residual confounding, and 2 provide orthogonal comparisons within their evaluated designs. The corpus therefore supports complete construction pipelines more strongly than a general LLM-constructor advantage.</t>
  </si>
  <si>
    <t>S_CHASE, S_GENTTP, S_GRAPH_GUIDED, S_H2GLM, S_LAMPS, S_MALGUARD_USENIX, S_MA_MPD, S_R001, S_R002, S_R003, S_R005, S_R010, S_R012, S_R013, S_R014, S_R015, S_R016, S_R017, S_R019, S_R024, S_R029, S_R032, S_R037, S_R038, S_R039, S_RAG_EVAL</t>
  </si>
  <si>
    <t>S_MALGUARD_DSC, S_R004, S_R008, S_R027, S_R033, S_SILVER_BULLET</t>
  </si>
  <si>
    <t>Random 80/20 split; no chronological train–test split</t>
  </si>
  <si>
    <t>Four-fold cross-validation; no chronological train–test split</t>
  </si>
</sst>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1"/>
      <x:name val="Carlito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">
    <x:border/>
  </x:borders>
  <x:cellStyleXfs count="2">
    <x:xf numFmtId="0" fontId="0" fillId="0" borderId="0"/>
    <x:xf numFmtId="0" fontId="3" fillId="0" borderId="0"/>
  </x:cellStyleXfs>
  <x:cellXfs count="13">
    <x:xf numFmtId="0" fontId="0" fillId="0" borderId="0" xfId="0"/>
    <x:xf numFmtId="0" fontId="1" fillId="2" borderId="0" xfId="1" applyFont="1" applyFill="1" applyAlignment="1">
      <x:alignment horizontal="left" vertical="top" wrapText="1"/>
    </x:xf>
    <x:xf numFmtId="0" fontId="2" fillId="2" borderId="0" xfId="1" applyFont="1" applyFill="1" applyAlignment="1">
      <x:alignment horizontal="left" vertical="top" wrapText="1"/>
    </x:xf>
    <x:xf numFmtId="0" fontId="1" fillId="2" borderId="0" xfId="1" applyFont="1" applyFill="1" applyAlignment="1">
      <x:alignment horizontal="lef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4" fontId="1" fillId="2" borderId="0" xfId="1" applyNumberFormat="1" applyFont="1" applyFill="1" applyAlignment="1">
      <x:alignment horizontal="left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939bd0a1c4922" /><Relationship Type="http://schemas.openxmlformats.org/officeDocument/2006/relationships/theme" Target="/xl/theme/theme1.xml" Id="R57d0c260b3ab46e9" /><Relationship Type="http://schemas.microsoft.com/office/2022/11/relationships/FeaturePropertyBag" Target="/xl/featurePropertyBag/featurePropertyBag.xml" Id="R59eff7bead7c472c" /><Relationship Type="http://schemas.openxmlformats.org/officeDocument/2006/relationships/sharedStrings" Target="/xl/sharedStrings.xml" Id="R147d7a26358a4b26" /><Relationship Type="http://schemas.openxmlformats.org/officeDocument/2006/relationships/worksheet" Target="/xl/worksheets/sheet1.xml" Id="R9e495aa108474b8b" /><Relationship Type="http://schemas.openxmlformats.org/officeDocument/2006/relationships/worksheet" Target="/xl/worksheets/sheet2.xml" Id="R9858e7f2e84d4504" /><Relationship Type="http://schemas.openxmlformats.org/officeDocument/2006/relationships/worksheet" Target="/xl/worksheets/sheet3.xml" Id="R98b2e4f6bfab40a5" /><Relationship Type="http://schemas.openxmlformats.org/officeDocument/2006/relationships/worksheet" Target="/xl/worksheets/sheet4.xml" Id="R66e51ae5ed094aac" /><Relationship Type="http://schemas.openxmlformats.org/officeDocument/2006/relationships/worksheet" Target="/xl/worksheets/sheet5.xml" Id="Rd761f54ff2314a6f" /><Relationship Type="http://schemas.openxmlformats.org/officeDocument/2006/relationships/worksheet" Target="/xl/worksheets/sheet6.xml" Id="Rb4b4e313fc5b440d" /><Relationship Type="http://schemas.openxmlformats.org/officeDocument/2006/relationships/worksheet" Target="/xl/worksheets/sheet7.xml" Id="R533e072addc44140" /><Relationship Type="http://schemas.openxmlformats.org/officeDocument/2006/relationships/worksheet" Target="/xl/worksheets/sheet8.xml" Id="Rb800b5d0afa34408" /><Relationship Type="http://schemas.openxmlformats.org/officeDocument/2006/relationships/worksheet" Target="/xl/worksheets/sheet9.xml" Id="R40340c9fbd1f4887" /><Relationship Type="http://schemas.openxmlformats.org/officeDocument/2006/relationships/worksheet" Target="/xl/worksheets/sheet10.xml" Id="R2dbec799755940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4.25"/>
  <cols>
    <col min="1" max="1" width="30" customWidth="1"/>
    <col min="2" max="2" width="105" customWidth="1"/>
  </cols>
  <sheetData>
    <row r="1" ht="32.099998474121094" customHeight="1">
      <c r="A1" s="2" t="str">
        <v>field</v>
      </c>
      <c r="B1" s="2" t="str">
        <v>value</v>
      </c>
    </row>
    <row r="2" ht="30" customHeight="1">
      <c r="A2" s="1" t="str">
        <v>dataset_title</v>
      </c>
      <c r="B2" s="1" t="str">
        <v>Review evidence data for LLM-based malicious-package detection studies</v>
      </c>
    </row>
    <row r="3" ht="30" customHeight="1">
      <c r="A3" s="1" t="str">
        <v>manuscript_title</v>
      </c>
      <c r="B3" s="1" t="str">
        <v>Large Language Models for Malicious Package Detection</v>
      </c>
    </row>
    <row r="4" ht="30" customHeight="1">
      <c r="A4" s="1" t="str">
        <v>dataset_version</v>
      </c>
      <c r="B4" s="1" t="s">
        <v>1254</v>
      </c>
    </row>
    <row r="5" ht="30" customHeight="1">
      <c r="A5" s="1" t="str">
        <v>review_search_cutoff</v>
      </c>
      <c r="B5" s="1" t="str">
        <v>2026-08-31</v>
      </c>
    </row>
    <row r="6" ht="30" customHeight="1">
      <c r="A6" s="1" t="str">
        <v>last_completed_search_execution</v>
      </c>
      <c r="B6" s="1" t="str">
        <v>2026-08-31</v>
      </c>
    </row>
    <row r="7" ht="30" customHeight="1">
      <c r="A7" s="1" t="str">
        <v>search_coverage_status</v>
      </c>
      <c r="B7" s="1" t="str">
        <v>Update search through 2026-08-31 completed</v>
      </c>
    </row>
    <row r="8" ht="30" customHeight="1">
      <c r="A8" s="1" t="str">
        <v>screening_scope</v>
      </c>
      <c r="B8" s="1" t="str">
        <v>Package ecosystems; malicious-package identification, validation, or downstream detection; material generative-LLM participation; extractable empirical methods or results</v>
      </c>
    </row>
    <row r="9" ht="30" customHeight="1">
      <c r="A9" s="1" t="str">
        <v>missing_value_codes</v>
      </c>
      <c r="B9" s="1" t="str">
        <v>NR = not reported; blank = not applicable or unavailable</v>
      </c>
    </row>
    <row r="10" ht="30" customHeight="1">
      <c r="A10" s="1" t="str">
        <v>public_data_scope</v>
      </c>
      <c r="B10" s="1" t="str">
        <v>Structured review records only; copyrighted full texts and licensed database exports are excluded</v>
      </c>
    </row>
    <row r="11" ht="30" customHeight="1">
      <c r="A11" s="1" t="str">
        <v>audit_rubric_status</v>
      </c>
      <c r="B11" s="1" t="str">
        <v>Author-constructed seven-domain reconstruction aid; not a validated study-quality or risk-of-bias scale</v>
      </c>
    </row>
    <row r="12">
      <c r="A12" s="8" t="str">
        <v>audit_rubric_applicability</v>
      </c>
      <c r="B12" s="8" t="str">
        <v>All domains use role- and task-specific criteria; outcome reporting is judged against the study's stated task rather than a package-classification template</v>
      </c>
    </row>
    <row r="13" ht="30" customHeight="1">
      <c r="A13" s="12" t="str">
        <v>sensitivity_design</v>
      </c>
      <c r="B13" s="12" t="str">
        <v>Structured claim-mapping sensitivity only; thresholds 5/14, 7/14, and 9/14 are symmetric around the scale midpoint; publication status is an explicit subset restriction and never contributes to normalized scores; claim sensitivity covers C1 and C2, while C3 and C4 are direct corpus audits</v>
      </c>
    </row>
    <row r="14" ht="30" customHeight="1">
      <c r="A14" s="12" t="str">
        <v>publication_status_freeze_date</v>
      </c>
      <c r="B14" s="12" t="str">
        <v>2026-09-01</v>
      </c>
    </row>
  </sheetData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4.25"/>
  <x:cols>
    <x:col min="1" max="1" width="16" customWidth="1"/>
    <x:col min="2" max="3" width="30" customWidth="1"/>
    <x:col min="4" max="4" width="22" customWidth="1"/>
    <x:col min="5" max="5" width="24" customWidth="1"/>
    <x:col min="6" max="6" width="100" customWidth="1"/>
    <x:col min="7" max="7" width="20" customWidth="1"/>
    <x:col min="8" max="8" width="18" customWidth="1"/>
    <x:col min="9" max="9" width="26" customWidth="1"/>
    <x:col min="10" max="10" width="14" customWidth="1"/>
    <x:col min="11" max="11" width="16" customWidth="1"/>
    <x:col min="12" max="12" width="22" customWidth="1"/>
    <x:col min="13" max="13" width="24" customWidth="1"/>
    <x:col min="14" max="14" width="40" customWidth="1"/>
  </x:cols>
  <x:sheetData>
    <x:row r="1" ht="32.09999847412109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ht="81.94999694824219" customHeight="1">
      <x:c r="A2" s="1" t="s">
        <x:v>14</x:v>
      </x:c>
      <x:c r="B2" s="1" t="s">
        <x:v>15</x:v>
      </x:c>
      <x:c r="C2" s="1" t="s">
        <x:v>16</x:v>
      </x:c>
      <x:c r="D2" s="1" t="s">
        <x:v>16</x:v>
      </x:c>
      <x:c r="E2" s="1" t="s">
        <x:v>17</x:v>
      </x:c>
      <x:c r="F2" s="1" t="s">
        <x:v>18</x:v>
      </x:c>
      <x:c r="G2" s="4">
        <x:v>46265</x:v>
      </x:c>
      <x:c r="H2" s="1" t="s">
        <x:v>19</x:v>
      </x:c>
      <x:c r="I2" s="1" t="s">
        <x:v>20</x:v>
      </x:c>
      <x:c r="J2" s="1">
        <x:v>16</x:v>
      </x:c>
      <x:c r="K2" s="1">
        <x:v>16</x:v>
      </x:c>
      <x:c r="L2" s="1">
        <x:v>16</x:v>
      </x:c>
      <x:c r="M2" s="1" t="s">
        <x:v>21</x:v>
      </x:c>
      <x:c r="N2" s="1" t="s">
        <x:v>22</x:v>
      </x:c>
    </x:row>
    <x:row r="3" ht="81.94999694824219" customHeight="1">
      <x:c r="A3" s="1" t="s">
        <x:v>23</x:v>
      </x:c>
      <x:c r="B3" s="1" t="s">
        <x:v>15</x:v>
      </x:c>
      <x:c r="C3" s="1" t="s">
        <x:v>24</x:v>
      </x:c>
      <x:c r="D3" s="1" t="s">
        <x:v>25</x:v>
      </x:c>
      <x:c r="E3" s="1" t="s">
        <x:v>26</x:v>
      </x:c>
      <x:c r="F3" s="1" t="s">
        <x:v>27</x:v>
      </x:c>
      <x:c r="G3" s="4">
        <x:v>46265</x:v>
      </x:c>
      <x:c r="H3" s="1" t="s">
        <x:v>19</x:v>
      </x:c>
      <x:c r="I3" s="1" t="s">
        <x:v>20</x:v>
      </x:c>
      <x:c r="J3" s="1">
        <x:v>10</x:v>
      </x:c>
      <x:c r="K3" s="1">
        <x:v>10</x:v>
      </x:c>
      <x:c r="L3" s="1">
        <x:v>10</x:v>
      </x:c>
      <x:c r="M3" s="1" t="s">
        <x:v>28</x:v>
      </x:c>
      <x:c r="N3" s="1" t="s">
        <x:v>22</x:v>
      </x:c>
    </x:row>
    <x:row r="4" ht="81.94999694824219" customHeight="1">
      <x:c r="A4" s="1" t="s">
        <x:v>29</x:v>
      </x:c>
      <x:c r="B4" s="1" t="s">
        <x:v>15</x:v>
      </x:c>
      <x:c r="C4" s="1" t="s">
        <x:v>30</x:v>
      </x:c>
      <x:c r="D4" s="1" t="s">
        <x:v>30</x:v>
      </x:c>
      <x:c r="E4" s="1" t="s">
        <x:v>31</x:v>
      </x:c>
      <x:c r="F4" s="1" t="s">
        <x:v>32</x:v>
      </x:c>
      <x:c r="G4" s="4">
        <x:v>46265</x:v>
      </x:c>
      <x:c r="H4" s="1" t="s">
        <x:v>19</x:v>
      </x:c>
      <x:c r="I4" s="1" t="s">
        <x:v>20</x:v>
      </x:c>
      <x:c r="J4" s="1">
        <x:v>8</x:v>
      </x:c>
      <x:c r="K4" s="1">
        <x:v>8</x:v>
      </x:c>
      <x:c r="L4" s="1">
        <x:v>8</x:v>
      </x:c>
      <x:c r="M4" s="1" t="s">
        <x:v>21</x:v>
      </x:c>
      <x:c r="N4" s="1" t="s">
        <x:v>22</x:v>
      </x:c>
    </x:row>
    <x:row r="5" ht="81.94999694824219" customHeight="1">
      <x:c r="A5" s="1" t="s">
        <x:v>33</x:v>
      </x:c>
      <x:c r="B5" s="1" t="s">
        <x:v>15</x:v>
      </x:c>
      <x:c r="C5" s="1" t="s">
        <x:v>34</x:v>
      </x:c>
      <x:c r="D5" s="1" t="s">
        <x:v>35</x:v>
      </x:c>
      <x:c r="E5" s="1" t="s">
        <x:v>36</x:v>
      </x:c>
      <x:c r="F5" s="1" t="s">
        <x:v>37</x:v>
      </x:c>
      <x:c r="G5" s="4">
        <x:v>46265</x:v>
      </x:c>
      <x:c r="H5" s="1" t="s">
        <x:v>19</x:v>
      </x:c>
      <x:c r="I5" s="1" t="s">
        <x:v>20</x:v>
      </x:c>
      <x:c r="J5" s="1">
        <x:v>10</x:v>
      </x:c>
      <x:c r="K5" s="1">
        <x:v>10</x:v>
      </x:c>
      <x:c r="L5" s="1">
        <x:v>10</x:v>
      </x:c>
      <x:c r="M5" s="1" t="s">
        <x:v>38</x:v>
      </x:c>
      <x:c r="N5" s="1" t="s">
        <x:v>22</x:v>
      </x:c>
    </x:row>
    <x:row r="6" ht="81.94999694824219" customHeight="1">
      <x:c r="A6" s="1" t="s">
        <x:v>39</x:v>
      </x:c>
      <x:c r="B6" s="1" t="s">
        <x:v>40</x:v>
      </x:c>
      <x:c r="C6" s="1" t="s">
        <x:v>41</x:v>
      </x:c>
      <x:c r="D6" s="1" t="s">
        <x:v>41</x:v>
      </x:c>
      <x:c r="E6" s="1" t="s">
        <x:v>42</x:v>
      </x:c>
      <x:c r="F6" s="1" t="s">
        <x:v>43</x:v>
      </x:c>
      <x:c r="G6" s="4">
        <x:v>46265</x:v>
      </x:c>
      <x:c r="H6" s="1" t="s">
        <x:v>19</x:v>
      </x:c>
      <x:c r="I6" s="1" t="s">
        <x:v>20</x:v>
      </x:c>
      <x:c r="J6" s="1">
        <x:v>15</x:v>
      </x:c>
      <x:c r="K6" s="1">
        <x:v>15</x:v>
      </x:c>
      <x:c r="L6" s="1">
        <x:v>15</x:v>
      </x:c>
      <x:c r="M6" s="1" t="s">
        <x:v>38</x:v>
      </x:c>
      <x:c r="N6" s="1" t="s">
        <x:v>22</x:v>
      </x:c>
    </x:row>
    <x:row r="7" ht="81.94999694824219" customHeight="1">
      <x:c r="A7" s="1" t="s">
        <x:v>44</x:v>
      </x:c>
      <x:c r="B7" s="1" t="s">
        <x:v>45</x:v>
      </x:c>
      <x:c r="C7" s="1" t="s">
        <x:v>46</x:v>
      </x:c>
      <x:c r="D7" s="1" t="s">
        <x:v>47</x:v>
      </x:c>
      <x:c r="E7" s="1" t="s">
        <x:v>48</x:v>
      </x:c>
      <x:c r="F7" s="1" t="s">
        <x:v>49</x:v>
      </x:c>
      <x:c r="G7" s="4">
        <x:v>46265</x:v>
      </x:c>
      <x:c r="H7" s="1" t="s">
        <x:v>19</x:v>
      </x:c>
      <x:c r="I7" s="1" t="s">
        <x:v>20</x:v>
      </x:c>
      <x:c r="J7" s="1">
        <x:v>22</x:v>
      </x:c>
      <x:c r="K7" s="1">
        <x:v>22</x:v>
      </x:c>
      <x:c r="L7" s="1">
        <x:v>22</x:v>
      </x:c>
      <x:c r="M7" s="1" t="s">
        <x:v>50</x:v>
      </x:c>
      <x:c r="N7" s="1" t="s">
        <x:v>22</x:v>
      </x:c>
    </x:row>
    <x:row r="8" ht="81.94999694824219" customHeight="1">
      <x:c r="A8" s="1" t="s">
        <x:v>51</x:v>
      </x:c>
      <x:c r="B8" s="1" t="s">
        <x:v>52</x:v>
      </x:c>
      <x:c r="C8" s="1" t="s">
        <x:v>53</x:v>
      </x:c>
      <x:c r="D8" s="1" t="s">
        <x:v>53</x:v>
      </x:c>
      <x:c r="E8" s="1" t="s">
        <x:v>54</x:v>
      </x:c>
      <x:c r="F8" s="1" t="s">
        <x:v>55</x:v>
      </x:c>
      <x:c r="G8" s="4">
        <x:v>46265</x:v>
      </x:c>
      <x:c r="H8" s="1" t="s">
        <x:v>19</x:v>
      </x:c>
      <x:c r="I8" s="1" t="s">
        <x:v>20</x:v>
      </x:c>
      <x:c r="J8" s="1">
        <x:v>50</x:v>
      </x:c>
      <x:c r="K8" s="1">
        <x:v>50</x:v>
      </x:c>
      <x:c r="L8" s="1">
        <x:v>50</x:v>
      </x:c>
      <x:c r="M8" s="1" t="s">
        <x:v>38</x:v>
      </x:c>
      <x:c r="N8" s="1" t="s">
        <x:v>22</x:v>
      </x:c>
    </x:row>
    <x:row r="9" ht="81.94999694824219" customHeight="1">
      <x:c r="A9" s="1" t="s">
        <x:v>56</x:v>
      </x:c>
      <x:c r="B9" s="1" t="s">
        <x:v>57</x:v>
      </x:c>
      <x:c r="C9" s="1" t="s">
        <x:v>58</x:v>
      </x:c>
      <x:c r="D9" s="1" t="s">
        <x:v>59</x:v>
      </x:c>
      <x:c r="E9" s="1" t="s">
        <x:v>60</x:v>
      </x:c>
      <x:c r="F9" s="1" t="s">
        <x:v>61</x:v>
      </x:c>
      <x:c r="G9" s="4">
        <x:v>46265</x:v>
      </x:c>
      <x:c r="H9" s="1" t="s">
        <x:v>19</x:v>
      </x:c>
      <x:c r="I9" s="1" t="s">
        <x:v>20</x:v>
      </x:c>
      <x:c r="J9" s="1">
        <x:v>1</x:v>
      </x:c>
      <x:c r="K9" s="1">
        <x:v>1</x:v>
      </x:c>
      <x:c r="L9" s="1">
        <x:v>1</x:v>
      </x:c>
      <x:c r="M9" s="1" t="s">
        <x:v>62</x:v>
      </x:c>
      <x:c r="N9" s="1" t="s">
        <x:v>22</x:v>
      </x:c>
    </x:row>
    <x:row r="10" ht="81.94999694824219" customHeight="1">
      <x:c r="A10" s="1" t="s">
        <x:v>63</x:v>
      </x:c>
      <x:c r="B10" s="1" t="s">
        <x:v>57</x:v>
      </x:c>
      <x:c r="C10" s="1" t="s">
        <x:v>64</x:v>
      </x:c>
      <x:c r="D10" s="1" t="s">
        <x:v>65</x:v>
      </x:c>
      <x:c r="E10" s="1" t="s">
        <x:v>66</x:v>
      </x:c>
      <x:c r="F10" s="1" t="s">
        <x:v>67</x:v>
      </x:c>
      <x:c r="G10" s="4">
        <x:v>46265</x:v>
      </x:c>
      <x:c r="H10" s="1" t="s">
        <x:v>19</x:v>
      </x:c>
      <x:c r="I10" s="1" t="s">
        <x:v>20</x:v>
      </x:c>
      <x:c r="J10" s="1">
        <x:v>1</x:v>
      </x:c>
      <x:c r="K10" s="1">
        <x:v>1</x:v>
      </x:c>
      <x:c r="L10" s="1">
        <x:v>1</x:v>
      </x:c>
      <x:c r="M10" s="1" t="s">
        <x:v>62</x:v>
      </x:c>
      <x:c r="N10" s="1" t="s">
        <x:v>22</x:v>
      </x:c>
    </x:row>
    <x:row r="11" ht="81.94999694824219" customHeight="1">
      <x:c r="A11" s="1" t="s">
        <x:v>68</x:v>
      </x:c>
      <x:c r="B11" s="1" t="s">
        <x:v>57</x:v>
      </x:c>
      <x:c r="C11" s="1" t="s">
        <x:v>69</x:v>
      </x:c>
      <x:c r="D11" s="1" t="s">
        <x:v>70</x:v>
      </x:c>
      <x:c r="E11" s="1" t="s">
        <x:v>71</x:v>
      </x:c>
      <x:c r="F11" s="1" t="s">
        <x:v>72</x:v>
      </x:c>
      <x:c r="G11" s="4">
        <x:v>46265</x:v>
      </x:c>
      <x:c r="H11" s="1" t="s">
        <x:v>19</x:v>
      </x:c>
      <x:c r="I11" s="1" t="s">
        <x:v>20</x:v>
      </x:c>
      <x:c r="J11" s="1">
        <x:v>1</x:v>
      </x:c>
      <x:c r="K11" s="1">
        <x:v>1</x:v>
      </x:c>
      <x:c r="L11" s="1">
        <x:v>1</x:v>
      </x:c>
      <x:c r="M11" s="1" t="s">
        <x:v>62</x:v>
      </x:c>
      <x:c r="N11" s="1" t="s">
        <x:v>22</x:v>
      </x:c>
    </x:row>
    <x:row r="12" ht="81.94999694824219" customHeight="1">
      <x:c r="A12" s="1" t="s">
        <x:v>73</x:v>
      </x:c>
      <x:c r="B12" s="1" t="s">
        <x:v>57</x:v>
      </x:c>
      <x:c r="C12" s="1" t="s">
        <x:v>74</x:v>
      </x:c>
      <x:c r="D12" s="1" t="s">
        <x:v>59</x:v>
      </x:c>
      <x:c r="E12" s="1" t="s">
        <x:v>60</x:v>
      </x:c>
      <x:c r="F12" s="1" t="s">
        <x:v>75</x:v>
      </x:c>
      <x:c r="G12" s="4">
        <x:v>46265</x:v>
      </x:c>
      <x:c r="H12" s="1" t="s">
        <x:v>19</x:v>
      </x:c>
      <x:c r="I12" s="1" t="s">
        <x:v>20</x:v>
      </x:c>
      <x:c r="J12" s="1">
        <x:v>1</x:v>
      </x:c>
      <x:c r="K12" s="1">
        <x:v>1</x:v>
      </x:c>
      <x:c r="L12" s="1">
        <x:v>1</x:v>
      </x:c>
      <x:c r="M12" s="1" t="s">
        <x:v>62</x:v>
      </x:c>
      <x:c r="N12" s="1" t="s">
        <x:v>22</x:v>
      </x:c>
    </x:row>
    <x:row r="13" ht="81.94999694824219" customHeight="1">
      <x:c r="A13" s="1" t="s">
        <x:v>76</x:v>
      </x:c>
      <x:c r="B13" s="1" t="s">
        <x:v>77</x:v>
      </x:c>
      <x:c r="C13" s="1" t="s">
        <x:v>78</x:v>
      </x:c>
      <x:c r="D13" s="1" t="s">
        <x:v>79</x:v>
      </x:c>
      <x:c r="E13" s="1" t="s">
        <x:v>80</x:v>
      </x:c>
      <x:c r="F13" s="1" t="s">
        <x:v>81</x:v>
      </x:c>
      <x:c r="G13" s="4">
        <x:v>46265</x:v>
      </x:c>
      <x:c r="H13" s="1" t="s">
        <x:v>19</x:v>
      </x:c>
      <x:c r="I13" s="1" t="s">
        <x:v>20</x:v>
      </x:c>
      <x:c r="J13" s="1"/>
      <x:c r="K13" s="1"/>
      <x:c r="L13" s="1">
        <x:v>7</x:v>
      </x:c>
      <x:c r="M13" s="1" t="s">
        <x:v>82</x:v>
      </x:c>
      <x:c r="N13" s="1" t="s">
        <x:v>22</x:v>
      </x:c>
    </x:row>
    <x:row r="14" ht="81.94999694824219" customHeight="1">
      <x:c r="A14" s="1" t="s">
        <x:v>83</x:v>
      </x:c>
      <x:c r="B14" s="1" t="s">
        <x:v>77</x:v>
      </x:c>
      <x:c r="C14" s="1" t="s">
        <x:v>84</x:v>
      </x:c>
      <x:c r="D14" s="1" t="s">
        <x:v>85</x:v>
      </x:c>
      <x:c r="E14" s="1" t="s">
        <x:v>86</x:v>
      </x:c>
      <x:c r="F14" s="1" t="s">
        <x:v>87</x:v>
      </x:c>
      <x:c r="G14" s="4">
        <x:v>46265</x:v>
      </x:c>
      <x:c r="H14" s="1" t="s">
        <x:v>19</x:v>
      </x:c>
      <x:c r="I14" s="1" t="s">
        <x:v>20</x:v>
      </x:c>
      <x:c r="J14" s="1"/>
      <x:c r="K14" s="1"/>
      <x:c r="L14" s="1">
        <x:v>6</x:v>
      </x:c>
      <x:c r="M14" s="1" t="s">
        <x:v>82</x:v>
      </x:c>
      <x:c r="N14" s="1" t="s">
        <x:v>22</x:v>
      </x:c>
    </x:row>
    <x:row r="15" ht="81.94999694824219" customHeight="1">
      <x:c r="A15" s="1" t="s">
        <x:v>88</x:v>
      </x:c>
      <x:c r="B15" s="1" t="s">
        <x:v>89</x:v>
      </x:c>
      <x:c r="C15" s="1" t="s">
        <x:v>34</x:v>
      </x:c>
      <x:c r="D15" s="1" t="s">
        <x:v>35</x:v>
      </x:c>
      <x:c r="E15" s="1" t="s">
        <x:v>90</x:v>
      </x:c>
      <x:c r="F15" s="1" t="s">
        <x:v>91</x:v>
      </x:c>
      <x:c r="G15" s="4">
        <x:v>46265</x:v>
      </x:c>
      <x:c r="H15" s="1" t="s">
        <x:v>19</x:v>
      </x:c>
      <x:c r="I15" s="1" t="s">
        <x:v>20</x:v>
      </x:c>
      <x:c r="J15" s="1">
        <x:v>72</x:v>
      </x:c>
      <x:c r="K15" s="1">
        <x:v>72</x:v>
      </x:c>
      <x:c r="L15" s="1">
        <x:v>72</x:v>
      </x:c>
      <x:c r="M15" s="1" t="s">
        <x:v>38</x:v>
      </x:c>
      <x:c r="N15" s="1" t="s">
        <x:v>22</x:v>
      </x:c>
    </x:row>
    <x:row r="16" ht="81.94999694824219" customHeight="1">
      <x:c r="A16" s="1" t="s">
        <x:v>92</x:v>
      </x:c>
      <x:c r="B16" s="1" t="s">
        <x:v>93</x:v>
      </x:c>
      <x:c r="C16" s="1" t="s">
        <x:v>41</x:v>
      </x:c>
      <x:c r="D16" s="1" t="s">
        <x:v>41</x:v>
      </x:c>
      <x:c r="E16" s="1" t="s">
        <x:v>94</x:v>
      </x:c>
      <x:c r="F16" s="1" t="s">
        <x:v>95</x:v>
      </x:c>
      <x:c r="G16" s="4">
        <x:v>46265</x:v>
      </x:c>
      <x:c r="H16" s="1" t="s">
        <x:v>19</x:v>
      </x:c>
      <x:c r="I16" s="1" t="s">
        <x:v>20</x:v>
      </x:c>
      <x:c r="J16" s="1">
        <x:v>15</x:v>
      </x:c>
      <x:c r="K16" s="1">
        <x:v>15</x:v>
      </x:c>
      <x:c r="L16" s="1">
        <x:v>15</x:v>
      </x:c>
      <x:c r="M16" s="1" t="s">
        <x:v>38</x:v>
      </x:c>
      <x:c r="N16" s="1" t="s">
        <x:v>22</x:v>
      </x:c>
    </x:row>
    <x:row r="17" ht="81.94999694824219" customHeight="1">
      <x:c r="A17" s="1" t="s">
        <x:v>96</x:v>
      </x:c>
      <x:c r="B17" s="1" t="s">
        <x:v>97</x:v>
      </x:c>
      <x:c r="C17" s="1" t="s">
        <x:v>16</x:v>
      </x:c>
      <x:c r="D17" s="1" t="s">
        <x:v>16</x:v>
      </x:c>
      <x:c r="E17" s="1" t="s">
        <x:v>17</x:v>
      </x:c>
      <x:c r="F17" s="1" t="s">
        <x:v>18</x:v>
      </x:c>
      <x:c r="G17" s="4">
        <x:v>46265</x:v>
      </x:c>
      <x:c r="H17" s="1" t="s">
        <x:v>19</x:v>
      </x:c>
      <x:c r="I17" s="1" t="s">
        <x:v>98</x:v>
      </x:c>
      <x:c r="J17" s="1">
        <x:v>0</x:v>
      </x:c>
      <x:c r="K17" s="1">
        <x:v>0</x:v>
      </x:c>
      <x:c r="L17" s="1">
        <x:v>0</x:v>
      </x:c>
      <x:c r="M17" s="1" t="s">
        <x:v>99</x:v>
      </x:c>
      <x:c r="N17" s="1" t="s">
        <x:v>100</x:v>
      </x:c>
    </x:row>
    <x:row r="18" ht="81.94999694824219" customHeight="1">
      <x:c r="A18" s="1" t="s">
        <x:v>101</x:v>
      </x:c>
      <x:c r="B18" s="1" t="s">
        <x:v>97</x:v>
      </x:c>
      <x:c r="C18" s="1" t="s">
        <x:v>24</x:v>
      </x:c>
      <x:c r="D18" s="1" t="s">
        <x:v>25</x:v>
      </x:c>
      <x:c r="E18" s="1" t="s">
        <x:v>26</x:v>
      </x:c>
      <x:c r="F18" s="1" t="s">
        <x:v>27</x:v>
      </x:c>
      <x:c r="G18" s="4">
        <x:v>46265</x:v>
      </x:c>
      <x:c r="H18" s="1" t="s">
        <x:v>19</x:v>
      </x:c>
      <x:c r="I18" s="1" t="s">
        <x:v>98</x:v>
      </x:c>
      <x:c r="J18" s="1">
        <x:v>2</x:v>
      </x:c>
      <x:c r="K18" s="1">
        <x:v>2</x:v>
      </x:c>
      <x:c r="L18" s="1">
        <x:v>2</x:v>
      </x:c>
      <x:c r="M18" s="1" t="s">
        <x:v>28</x:v>
      </x:c>
      <x:c r="N18" s="1" t="s">
        <x:v>102</x:v>
      </x:c>
    </x:row>
    <x:row r="19" ht="81.94999694824219" customHeight="1">
      <x:c r="A19" s="1" t="s">
        <x:v>103</x:v>
      </x:c>
      <x:c r="B19" s="1" t="s">
        <x:v>97</x:v>
      </x:c>
      <x:c r="C19" s="1" t="s">
        <x:v>30</x:v>
      </x:c>
      <x:c r="D19" s="1" t="s">
        <x:v>30</x:v>
      </x:c>
      <x:c r="E19" s="1" t="s">
        <x:v>31</x:v>
      </x:c>
      <x:c r="F19" s="1" t="s">
        <x:v>32</x:v>
      </x:c>
      <x:c r="G19" s="4">
        <x:v>46265</x:v>
      </x:c>
      <x:c r="H19" s="1" t="s">
        <x:v>19</x:v>
      </x:c>
      <x:c r="I19" s="1" t="s">
        <x:v>98</x:v>
      </x:c>
      <x:c r="J19" s="1">
        <x:v>0</x:v>
      </x:c>
      <x:c r="K19" s="1">
        <x:v>0</x:v>
      </x:c>
      <x:c r="L19" s="1">
        <x:v>0</x:v>
      </x:c>
      <x:c r="M19" s="1" t="s">
        <x:v>99</x:v>
      </x:c>
      <x:c r="N19" s="1" t="s">
        <x:v>100</x:v>
      </x:c>
    </x:row>
    <x:row r="20" ht="81.94999694824219" customHeight="1">
      <x:c r="A20" s="1" t="s">
        <x:v>104</x:v>
      </x:c>
      <x:c r="B20" s="1" t="s">
        <x:v>97</x:v>
      </x:c>
      <x:c r="C20" s="1" t="s">
        <x:v>34</x:v>
      </x:c>
      <x:c r="D20" s="1" t="s">
        <x:v>35</x:v>
      </x:c>
      <x:c r="E20" s="1" t="s">
        <x:v>36</x:v>
      </x:c>
      <x:c r="F20" s="1" t="s">
        <x:v>37</x:v>
      </x:c>
      <x:c r="G20" s="4">
        <x:v>46265</x:v>
      </x:c>
      <x:c r="H20" s="1" t="s">
        <x:v>19</x:v>
      </x:c>
      <x:c r="I20" s="1" t="s">
        <x:v>98</x:v>
      </x:c>
      <x:c r="J20" s="1">
        <x:v>0</x:v>
      </x:c>
      <x:c r="K20" s="1">
        <x:v>0</x:v>
      </x:c>
      <x:c r="L20" s="1">
        <x:v>0</x:v>
      </x:c>
      <x:c r="M20" s="1" t="s">
        <x:v>99</x:v>
      </x:c>
      <x:c r="N20" s="1" t="s">
        <x:v>100</x:v>
      </x:c>
    </x:row>
    <x:row r="21" ht="81.94999694824219" customHeight="1">
      <x:c r="A21" s="1" t="s">
        <x:v>105</x:v>
      </x:c>
      <x:c r="B21" s="1" t="s">
        <x:v>106</x:v>
      </x:c>
      <x:c r="C21" s="1" t="s">
        <x:v>41</x:v>
      </x:c>
      <x:c r="D21" s="1" t="s">
        <x:v>41</x:v>
      </x:c>
      <x:c r="E21" s="1" t="s">
        <x:v>42</x:v>
      </x:c>
      <x:c r="F21" s="1" t="s">
        <x:v>43</x:v>
      </x:c>
      <x:c r="G21" s="4">
        <x:v>46265</x:v>
      </x:c>
      <x:c r="H21" s="1" t="s">
        <x:v>19</x:v>
      </x:c>
      <x:c r="I21" s="1" t="s">
        <x:v>98</x:v>
      </x:c>
      <x:c r="J21" s="1">
        <x:v>1</x:v>
      </x:c>
      <x:c r="K21" s="1">
        <x:v>1</x:v>
      </x:c>
      <x:c r="L21" s="1">
        <x:v>1</x:v>
      </x:c>
      <x:c r="M21" s="1" t="s">
        <x:v>38</x:v>
      </x:c>
      <x:c r="N21" s="1" t="s">
        <x:v>107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4" customWidth="1"/>
    <x:col min="2" max="2" width="75" customWidth="1"/>
    <x:col min="3" max="3" width="12" customWidth="1"/>
    <x:col min="4" max="4" width="55" customWidth="1"/>
    <x:col min="5" max="5" width="20" customWidth="1"/>
    <x:col min="6" max="6" width="24" customWidth="1"/>
    <x:col min="7" max="11" width="22" customWidth="1"/>
    <x:col min="12" max="12" width="20" customWidth="1"/>
    <x:col min="13" max="14" width="18" customWidth="1"/>
    <x:col min="15" max="15" width="80" customWidth="1"/>
    <x:col min="16" max="16" width="18" customWidth="1"/>
  </x:cols>
  <x:sheetData>
    <x:row r="1" ht="32.099998474121094" customHeight="1">
      <x:c r="A1" s="2" t="s">
        <x:v>108</x:v>
      </x:c>
      <x:c r="B1" s="2" t="s">
        <x:v>109</x:v>
      </x:c>
      <x:c r="C1" s="2" t="s">
        <x:v>110</x:v>
      </x:c>
      <x:c r="D1" s="2" t="s">
        <x:v>111</x:v>
      </x:c>
      <x:c r="E1" s="2" t="s">
        <x:v>112</x:v>
      </x:c>
      <x:c r="F1" s="2" t="s">
        <x:v>113</x:v>
      </x:c>
      <x:c r="G1" s="2" t="s">
        <x:v>114</x:v>
      </x:c>
      <x:c r="H1" s="2" t="s">
        <x:v>115</x:v>
      </x:c>
      <x:c r="I1" s="2" t="s">
        <x:v>116</x:v>
      </x:c>
      <x:c r="J1" s="2" t="s">
        <x:v>117</x:v>
      </x:c>
      <x:c r="K1" s="2" t="s">
        <x:v>118</x:v>
      </x:c>
      <x:c r="L1" s="2" t="s">
        <x:v>119</x:v>
      </x:c>
      <x:c r="M1" s="2" t="s">
        <x:v>120</x:v>
      </x:c>
      <x:c r="N1" s="2" t="s">
        <x:v>121</x:v>
      </x:c>
      <x:c r="O1" s="2" t="s">
        <x:v>122</x:v>
      </x:c>
      <x:c r="P1" s="2" t="s">
        <x:v>123</x:v>
      </x:c>
    </x:row>
    <x:row r="2" ht="42" customHeight="1">
      <x:c r="A2" s="1" t="s">
        <x:v>124</x:v>
      </x:c>
      <x:c r="B2" s="1" t="s">
        <x:v>125</x:v>
      </x:c>
      <x:c r="C2" s="1">
        <x:v>2025</x:v>
      </x:c>
      <x:c r="D2" s="1" t="s">
        <x:v>126</x:v>
      </x:c>
      <x:c r="E2" s="1" t="s">
        <x:v>127</x:v>
      </x:c>
      <x:c r="F2" s="1" t="s">
        <x:v>128</x:v>
      </x:c>
      <x:c r="G2" s="1" t="s">
        <x:v>129</x:v>
      </x:c>
      <x:c r="H2" s="1" t="s">
        <x:v>129</x:v>
      </x:c>
      <x:c r="I2" s="1" t="s">
        <x:v>129</x:v>
      </x:c>
      <x:c r="J2" s="1" t="s">
        <x:v>129</x:v>
      </x:c>
      <x:c r="K2" s="1" t="s">
        <x:v>130</x:v>
      </x:c>
      <x:c r="L2" s="1" t="s">
        <x:v>130</x:v>
      </x:c>
      <x:c r="M2" s="1" t="s">
        <x:v>130</x:v>
      </x:c>
      <x:c r="N2" s="1"/>
      <x:c r="O2" s="1" t="s">
        <x:v>131</x:v>
      </x:c>
      <x:c r="P2" s="1" t="s">
        <x:v>132</x:v>
      </x:c>
    </x:row>
    <x:row r="3" ht="42" customHeight="1">
      <x:c r="A3" s="1" t="s">
        <x:v>133</x:v>
      </x:c>
      <x:c r="B3" s="1" t="s">
        <x:v>134</x:v>
      </x:c>
      <x:c r="C3" s="1">
        <x:v>2025</x:v>
      </x:c>
      <x:c r="D3" s="1" t="s">
        <x:v>135</x:v>
      </x:c>
      <x:c r="E3" s="1" t="s">
        <x:v>136</x:v>
      </x:c>
      <x:c r="F3" s="1" t="s">
        <x:v>128</x:v>
      </x:c>
      <x:c r="G3" s="1" t="s">
        <x:v>129</x:v>
      </x:c>
      <x:c r="H3" s="1" t="s">
        <x:v>129</x:v>
      </x:c>
      <x:c r="I3" s="1" t="s">
        <x:v>129</x:v>
      </x:c>
      <x:c r="J3" s="1" t="s">
        <x:v>129</x:v>
      </x:c>
      <x:c r="K3" s="1" t="s">
        <x:v>130</x:v>
      </x:c>
      <x:c r="L3" s="1" t="s">
        <x:v>130</x:v>
      </x:c>
      <x:c r="M3" s="1" t="s">
        <x:v>130</x:v>
      </x:c>
      <x:c r="N3" s="1"/>
      <x:c r="O3" s="1" t="s">
        <x:v>131</x:v>
      </x:c>
      <x:c r="P3" s="1" t="s">
        <x:v>132</x:v>
      </x:c>
    </x:row>
    <x:row r="4" ht="42" customHeight="1">
      <x:c r="A4" s="1" t="s">
        <x:v>137</x:v>
      </x:c>
      <x:c r="B4" s="1" t="s">
        <x:v>138</x:v>
      </x:c>
      <x:c r="C4" s="1">
        <x:v>2026</x:v>
      </x:c>
      <x:c r="D4" s="1" t="s">
        <x:v>139</x:v>
      </x:c>
      <x:c r="E4" s="1" t="s">
        <x:v>140</x:v>
      </x:c>
      <x:c r="F4" s="1" t="s">
        <x:v>128</x:v>
      </x:c>
      <x:c r="G4" s="1" t="s">
        <x:v>129</x:v>
      </x:c>
      <x:c r="H4" s="1" t="s">
        <x:v>129</x:v>
      </x:c>
      <x:c r="I4" s="1" t="s">
        <x:v>129</x:v>
      </x:c>
      <x:c r="J4" s="1" t="s">
        <x:v>129</x:v>
      </x:c>
      <x:c r="K4" s="1" t="s">
        <x:v>130</x:v>
      </x:c>
      <x:c r="L4" s="1" t="s">
        <x:v>130</x:v>
      </x:c>
      <x:c r="M4" s="1" t="s">
        <x:v>130</x:v>
      </x:c>
      <x:c r="N4" s="1"/>
      <x:c r="O4" s="1" t="s">
        <x:v>131</x:v>
      </x:c>
      <x:c r="P4" s="1" t="s">
        <x:v>141</x:v>
      </x:c>
    </x:row>
    <x:row r="5" ht="42" customHeight="1">
      <x:c r="A5" s="1" t="s">
        <x:v>142</x:v>
      </x:c>
      <x:c r="B5" s="1" t="s">
        <x:v>143</x:v>
      </x:c>
      <x:c r="C5" s="1">
        <x:v>2025</x:v>
      </x:c>
      <x:c r="D5" s="1" t="s">
        <x:v>144</x:v>
      </x:c>
      <x:c r="E5" s="1" t="s">
        <x:v>140</x:v>
      </x:c>
      <x:c r="F5" s="1" t="s">
        <x:v>128</x:v>
      </x:c>
      <x:c r="G5" s="1" t="s">
        <x:v>129</x:v>
      </x:c>
      <x:c r="H5" s="1" t="s">
        <x:v>129</x:v>
      </x:c>
      <x:c r="I5" s="1" t="s">
        <x:v>129</x:v>
      </x:c>
      <x:c r="J5" s="1" t="s">
        <x:v>129</x:v>
      </x:c>
      <x:c r="K5" s="1" t="s">
        <x:v>130</x:v>
      </x:c>
      <x:c r="L5" s="1" t="s">
        <x:v>130</x:v>
      </x:c>
      <x:c r="M5" s="1" t="s">
        <x:v>130</x:v>
      </x:c>
      <x:c r="N5" s="1"/>
      <x:c r="O5" s="1" t="s">
        <x:v>131</x:v>
      </x:c>
      <x:c r="P5" s="1" t="s">
        <x:v>132</x:v>
      </x:c>
    </x:row>
    <x:row r="6" ht="42" customHeight="1">
      <x:c r="A6" s="1" t="s">
        <x:v>145</x:v>
      </x:c>
      <x:c r="B6" s="1" t="s">
        <x:v>146</x:v>
      </x:c>
      <x:c r="C6" s="1">
        <x:v>2026</x:v>
      </x:c>
      <x:c r="D6" s="1" t="s">
        <x:v>147</x:v>
      </x:c>
      <x:c r="E6" s="1" t="s">
        <x:v>44</x:v>
      </x:c>
      <x:c r="F6" s="1" t="s">
        <x:v>128</x:v>
      </x:c>
      <x:c r="G6" s="1" t="s">
        <x:v>129</x:v>
      </x:c>
      <x:c r="H6" s="1" t="s">
        <x:v>129</x:v>
      </x:c>
      <x:c r="I6" s="1" t="s">
        <x:v>129</x:v>
      </x:c>
      <x:c r="J6" s="1" t="s">
        <x:v>129</x:v>
      </x:c>
      <x:c r="K6" s="1" t="s">
        <x:v>130</x:v>
      </x:c>
      <x:c r="L6" s="1" t="s">
        <x:v>130</x:v>
      </x:c>
      <x:c r="M6" s="1" t="s">
        <x:v>130</x:v>
      </x:c>
      <x:c r="N6" s="1"/>
      <x:c r="O6" s="1" t="s">
        <x:v>131</x:v>
      </x:c>
      <x:c r="P6" s="1" t="s">
        <x:v>141</x:v>
      </x:c>
    </x:row>
    <x:row r="7" ht="42" customHeight="1">
      <x:c r="A7" s="1" t="s">
        <x:v>148</x:v>
      </x:c>
      <x:c r="B7" s="1" t="s">
        <x:v>149</x:v>
      </x:c>
      <x:c r="C7" s="1">
        <x:v>2025</x:v>
      </x:c>
      <x:c r="D7" s="1" t="s">
        <x:v>150</x:v>
      </x:c>
      <x:c r="E7" s="1" t="s">
        <x:v>44</x:v>
      </x:c>
      <x:c r="F7" s="1" t="s">
        <x:v>128</x:v>
      </x:c>
      <x:c r="G7" s="1" t="s">
        <x:v>129</x:v>
      </x:c>
      <x:c r="H7" s="1" t="s">
        <x:v>129</x:v>
      </x:c>
      <x:c r="I7" s="1" t="s">
        <x:v>129</x:v>
      </x:c>
      <x:c r="J7" s="1" t="s">
        <x:v>129</x:v>
      </x:c>
      <x:c r="K7" s="1" t="s">
        <x:v>130</x:v>
      </x:c>
      <x:c r="L7" s="1" t="s">
        <x:v>130</x:v>
      </x:c>
      <x:c r="M7" s="1" t="s">
        <x:v>130</x:v>
      </x:c>
      <x:c r="N7" s="1"/>
      <x:c r="O7" s="1" t="s">
        <x:v>131</x:v>
      </x:c>
      <x:c r="P7" s="1" t="s">
        <x:v>141</x:v>
      </x:c>
    </x:row>
    <x:row r="8" ht="42" customHeight="1">
      <x:c r="A8" s="1" t="s">
        <x:v>151</x:v>
      </x:c>
      <x:c r="B8" s="1" t="s">
        <x:v>152</x:v>
      </x:c>
      <x:c r="C8" s="1">
        <x:v>2025</x:v>
      </x:c>
      <x:c r="D8" s="1" t="s">
        <x:v>153</x:v>
      </x:c>
      <x:c r="E8" s="1" t="s">
        <x:v>136</x:v>
      </x:c>
      <x:c r="F8" s="1" t="s">
        <x:v>128</x:v>
      </x:c>
      <x:c r="G8" s="1" t="s">
        <x:v>129</x:v>
      </x:c>
      <x:c r="H8" s="1" t="s">
        <x:v>129</x:v>
      </x:c>
      <x:c r="I8" s="1" t="s">
        <x:v>129</x:v>
      </x:c>
      <x:c r="J8" s="1" t="s">
        <x:v>129</x:v>
      </x:c>
      <x:c r="K8" s="1" t="s">
        <x:v>130</x:v>
      </x:c>
      <x:c r="L8" s="1" t="s">
        <x:v>130</x:v>
      </x:c>
      <x:c r="M8" s="1" t="s">
        <x:v>130</x:v>
      </x:c>
      <x:c r="N8" s="1"/>
      <x:c r="O8" s="1" t="s">
        <x:v>131</x:v>
      </x:c>
      <x:c r="P8" s="1" t="s">
        <x:v>132</x:v>
      </x:c>
    </x:row>
    <x:row r="9" ht="42" customHeight="1">
      <x:c r="A9" s="1" t="s">
        <x:v>154</x:v>
      </x:c>
      <x:c r="B9" s="1" t="s">
        <x:v>155</x:v>
      </x:c>
      <x:c r="C9" s="1">
        <x:v>2025</x:v>
      </x:c>
      <x:c r="D9" s="1" t="s">
        <x:v>156</x:v>
      </x:c>
      <x:c r="E9" s="1" t="s">
        <x:v>157</x:v>
      </x:c>
      <x:c r="F9" s="1" t="s">
        <x:v>128</x:v>
      </x:c>
      <x:c r="G9" s="1" t="s">
        <x:v>129</x:v>
      </x:c>
      <x:c r="H9" s="1" t="s">
        <x:v>129</x:v>
      </x:c>
      <x:c r="I9" s="1" t="s">
        <x:v>129</x:v>
      </x:c>
      <x:c r="J9" s="1" t="s">
        <x:v>129</x:v>
      </x:c>
      <x:c r="K9" s="1" t="s">
        <x:v>130</x:v>
      </x:c>
      <x:c r="L9" s="1" t="s">
        <x:v>130</x:v>
      </x:c>
      <x:c r="M9" s="1" t="s">
        <x:v>130</x:v>
      </x:c>
      <x:c r="N9" s="1"/>
      <x:c r="O9" s="1" t="s">
        <x:v>131</x:v>
      </x:c>
      <x:c r="P9" s="1" t="s">
        <x:v>132</x:v>
      </x:c>
    </x:row>
    <x:row r="10" ht="42" customHeight="1">
      <x:c r="A10" s="1" t="s">
        <x:v>158</x:v>
      </x:c>
      <x:c r="B10" s="1" t="s">
        <x:v>159</x:v>
      </x:c>
      <x:c r="C10" s="1">
        <x:v>2025</x:v>
      </x:c>
      <x:c r="D10" s="1" t="s">
        <x:v>160</x:v>
      </x:c>
      <x:c r="E10" s="1" t="s">
        <x:v>161</x:v>
      </x:c>
      <x:c r="F10" s="1" t="s">
        <x:v>128</x:v>
      </x:c>
      <x:c r="G10" s="1" t="s">
        <x:v>129</x:v>
      </x:c>
      <x:c r="H10" s="1" t="s">
        <x:v>129</x:v>
      </x:c>
      <x:c r="I10" s="1" t="s">
        <x:v>129</x:v>
      </x:c>
      <x:c r="J10" s="1" t="s">
        <x:v>129</x:v>
      </x:c>
      <x:c r="K10" s="1" t="s">
        <x:v>130</x:v>
      </x:c>
      <x:c r="L10" s="1" t="s">
        <x:v>130</x:v>
      </x:c>
      <x:c r="M10" s="1" t="s">
        <x:v>130</x:v>
      </x:c>
      <x:c r="N10" s="1"/>
      <x:c r="O10" s="1" t="s">
        <x:v>131</x:v>
      </x:c>
      <x:c r="P10" s="1" t="s">
        <x:v>141</x:v>
      </x:c>
    </x:row>
    <x:row r="11" ht="42" customHeight="1">
      <x:c r="A11" s="1" t="s">
        <x:v>162</x:v>
      </x:c>
      <x:c r="B11" s="1" t="s">
        <x:v>163</x:v>
      </x:c>
      <x:c r="C11" s="1">
        <x:v>2026</x:v>
      </x:c>
      <x:c r="D11" s="1" t="s">
        <x:v>164</x:v>
      </x:c>
      <x:c r="E11" s="1" t="s">
        <x:v>165</x:v>
      </x:c>
      <x:c r="F11" s="1" t="s">
        <x:v>128</x:v>
      </x:c>
      <x:c r="G11" s="1" t="s">
        <x:v>129</x:v>
      </x:c>
      <x:c r="H11" s="1" t="s">
        <x:v>129</x:v>
      </x:c>
      <x:c r="I11" s="1" t="s">
        <x:v>129</x:v>
      </x:c>
      <x:c r="J11" s="1" t="s">
        <x:v>129</x:v>
      </x:c>
      <x:c r="K11" s="1" t="s">
        <x:v>130</x:v>
      </x:c>
      <x:c r="L11" s="1" t="s">
        <x:v>130</x:v>
      </x:c>
      <x:c r="M11" s="1" t="s">
        <x:v>130</x:v>
      </x:c>
      <x:c r="N11" s="1"/>
      <x:c r="O11" s="1" t="s">
        <x:v>131</x:v>
      </x:c>
      <x:c r="P11" s="1" t="s">
        <x:v>141</x:v>
      </x:c>
    </x:row>
    <x:row r="12" ht="42" customHeight="1">
      <x:c r="A12" s="1" t="s">
        <x:v>166</x:v>
      </x:c>
      <x:c r="B12" s="1" t="s">
        <x:v>167</x:v>
      </x:c>
      <x:c r="C12" s="1">
        <x:v>2025</x:v>
      </x:c>
      <x:c r="D12" s="1" t="s">
        <x:v>168</x:v>
      </x:c>
      <x:c r="E12" s="1" t="s">
        <x:v>161</x:v>
      </x:c>
      <x:c r="F12" s="1" t="s">
        <x:v>128</x:v>
      </x:c>
      <x:c r="G12" s="1" t="s">
        <x:v>129</x:v>
      </x:c>
      <x:c r="H12" s="1" t="s">
        <x:v>129</x:v>
      </x:c>
      <x:c r="I12" s="1" t="s">
        <x:v>129</x:v>
      </x:c>
      <x:c r="J12" s="1" t="s">
        <x:v>129</x:v>
      </x:c>
      <x:c r="K12" s="1" t="s">
        <x:v>130</x:v>
      </x:c>
      <x:c r="L12" s="1" t="s">
        <x:v>130</x:v>
      </x:c>
      <x:c r="M12" s="1" t="s">
        <x:v>130</x:v>
      </x:c>
      <x:c r="N12" s="1"/>
      <x:c r="O12" s="1" t="s">
        <x:v>131</x:v>
      </x:c>
      <x:c r="P12" s="1" t="s">
        <x:v>132</x:v>
      </x:c>
    </x:row>
    <x:row r="13" ht="42" customHeight="1">
      <x:c r="A13" s="1" t="s">
        <x:v>169</x:v>
      </x:c>
      <x:c r="B13" s="1" t="s">
        <x:v>170</x:v>
      </x:c>
      <x:c r="C13" s="1">
        <x:v>2026</x:v>
      </x:c>
      <x:c r="D13" s="1" t="s">
        <x:v>171</x:v>
      </x:c>
      <x:c r="E13" s="1" t="s">
        <x:v>140</x:v>
      </x:c>
      <x:c r="F13" s="1" t="s">
        <x:v>128</x:v>
      </x:c>
      <x:c r="G13" s="1" t="s">
        <x:v>129</x:v>
      </x:c>
      <x:c r="H13" s="1" t="s">
        <x:v>129</x:v>
      </x:c>
      <x:c r="I13" s="1" t="s">
        <x:v>129</x:v>
      </x:c>
      <x:c r="J13" s="1" t="s">
        <x:v>129</x:v>
      </x:c>
      <x:c r="K13" s="1" t="s">
        <x:v>130</x:v>
      </x:c>
      <x:c r="L13" s="1" t="s">
        <x:v>130</x:v>
      </x:c>
      <x:c r="M13" s="1" t="s">
        <x:v>130</x:v>
      </x:c>
      <x:c r="N13" s="1"/>
      <x:c r="O13" s="1" t="s">
        <x:v>131</x:v>
      </x:c>
      <x:c r="P13" s="1" t="s">
        <x:v>132</x:v>
      </x:c>
    </x:row>
    <x:row r="14" ht="42" customHeight="1">
      <x:c r="A14" s="1" t="s">
        <x:v>172</x:v>
      </x:c>
      <x:c r="B14" s="1" t="s">
        <x:v>173</x:v>
      </x:c>
      <x:c r="C14" s="1">
        <x:v>2025</x:v>
      </x:c>
      <x:c r="D14" s="1" t="s">
        <x:v>174</x:v>
      </x:c>
      <x:c r="E14" s="1" t="s">
        <x:v>136</x:v>
      </x:c>
      <x:c r="F14" s="1" t="s">
        <x:v>128</x:v>
      </x:c>
      <x:c r="G14" s="1" t="s">
        <x:v>129</x:v>
      </x:c>
      <x:c r="H14" s="1" t="s">
        <x:v>129</x:v>
      </x:c>
      <x:c r="I14" s="1" t="s">
        <x:v>129</x:v>
      </x:c>
      <x:c r="J14" s="1" t="s">
        <x:v>129</x:v>
      </x:c>
      <x:c r="K14" s="1" t="s">
        <x:v>130</x:v>
      </x:c>
      <x:c r="L14" s="1" t="s">
        <x:v>130</x:v>
      </x:c>
      <x:c r="M14" s="1" t="s">
        <x:v>130</x:v>
      </x:c>
      <x:c r="N14" s="1"/>
      <x:c r="O14" s="1" t="s">
        <x:v>131</x:v>
      </x:c>
      <x:c r="P14" s="1" t="s">
        <x:v>132</x:v>
      </x:c>
    </x:row>
    <x:row r="15" ht="42" customHeight="1">
      <x:c r="A15" s="1" t="s">
        <x:v>175</x:v>
      </x:c>
      <x:c r="B15" s="1" t="s">
        <x:v>176</x:v>
      </x:c>
      <x:c r="C15" s="1">
        <x:v>2024</x:v>
      </x:c>
      <x:c r="D15" s="1" t="s">
        <x:v>177</x:v>
      </x:c>
      <x:c r="E15" s="1" t="s">
        <x:v>178</x:v>
      </x:c>
      <x:c r="F15" s="1" t="s">
        <x:v>128</x:v>
      </x:c>
      <x:c r="G15" s="1" t="s">
        <x:v>129</x:v>
      </x:c>
      <x:c r="H15" s="1" t="s">
        <x:v>129</x:v>
      </x:c>
      <x:c r="I15" s="1" t="s">
        <x:v>129</x:v>
      </x:c>
      <x:c r="J15" s="1" t="s">
        <x:v>129</x:v>
      </x:c>
      <x:c r="K15" s="1" t="s">
        <x:v>130</x:v>
      </x:c>
      <x:c r="L15" s="1" t="s">
        <x:v>130</x:v>
      </x:c>
      <x:c r="M15" s="1" t="s">
        <x:v>130</x:v>
      </x:c>
      <x:c r="N15" s="1"/>
      <x:c r="O15" s="1" t="s">
        <x:v>131</x:v>
      </x:c>
      <x:c r="P15" s="1" t="s">
        <x:v>132</x:v>
      </x:c>
    </x:row>
    <x:row r="16" ht="42" customHeight="1">
      <x:c r="A16" s="1" t="s">
        <x:v>179</x:v>
      </x:c>
      <x:c r="B16" s="1" t="s">
        <x:v>180</x:v>
      </x:c>
      <x:c r="C16" s="1">
        <x:v>2025</x:v>
      </x:c>
      <x:c r="D16" s="1" t="s">
        <x:v>181</x:v>
      </x:c>
      <x:c r="E16" s="1" t="s">
        <x:v>182</x:v>
      </x:c>
      <x:c r="F16" s="1" t="s">
        <x:v>128</x:v>
      </x:c>
      <x:c r="G16" s="1" t="s">
        <x:v>129</x:v>
      </x:c>
      <x:c r="H16" s="1" t="s">
        <x:v>129</x:v>
      </x:c>
      <x:c r="I16" s="1" t="s">
        <x:v>129</x:v>
      </x:c>
      <x:c r="J16" s="1" t="s">
        <x:v>129</x:v>
      </x:c>
      <x:c r="K16" s="1" t="s">
        <x:v>130</x:v>
      </x:c>
      <x:c r="L16" s="1" t="s">
        <x:v>130</x:v>
      </x:c>
      <x:c r="M16" s="1" t="s">
        <x:v>130</x:v>
      </x:c>
      <x:c r="N16" s="1"/>
      <x:c r="O16" s="1" t="s">
        <x:v>131</x:v>
      </x:c>
      <x:c r="P16" s="1" t="s">
        <x:v>132</x:v>
      </x:c>
    </x:row>
    <x:row r="17" ht="42" customHeight="1">
      <x:c r="A17" s="1" t="s">
        <x:v>183</x:v>
      </x:c>
      <x:c r="B17" s="1" t="s">
        <x:v>184</x:v>
      </x:c>
      <x:c r="C17" s="1">
        <x:v>2024</x:v>
      </x:c>
      <x:c r="D17" s="1" t="s">
        <x:v>185</x:v>
      </x:c>
      <x:c r="E17" s="1" t="s">
        <x:v>186</x:v>
      </x:c>
      <x:c r="F17" s="1" t="s">
        <x:v>128</x:v>
      </x:c>
      <x:c r="G17" s="1" t="s">
        <x:v>129</x:v>
      </x:c>
      <x:c r="H17" s="1" t="s">
        <x:v>129</x:v>
      </x:c>
      <x:c r="I17" s="1" t="s">
        <x:v>129</x:v>
      </x:c>
      <x:c r="J17" s="1" t="s">
        <x:v>129</x:v>
      </x:c>
      <x:c r="K17" s="1" t="s">
        <x:v>130</x:v>
      </x:c>
      <x:c r="L17" s="1" t="s">
        <x:v>130</x:v>
      </x:c>
      <x:c r="M17" s="1" t="s">
        <x:v>130</x:v>
      </x:c>
      <x:c r="N17" s="1"/>
      <x:c r="O17" s="1" t="s">
        <x:v>131</x:v>
      </x:c>
      <x:c r="P17" s="1" t="s">
        <x:v>132</x:v>
      </x:c>
    </x:row>
    <x:row r="18" ht="42" customHeight="1">
      <x:c r="A18" s="1" t="s">
        <x:v>187</x:v>
      </x:c>
      <x:c r="B18" s="1" t="s">
        <x:v>188</x:v>
      </x:c>
      <x:c r="C18" s="1">
        <x:v>2026</x:v>
      </x:c>
      <x:c r="D18" s="1" t="s">
        <x:v>189</x:v>
      </x:c>
      <x:c r="E18" s="1" t="s">
        <x:v>190</x:v>
      </x:c>
      <x:c r="F18" s="1" t="s">
        <x:v>128</x:v>
      </x:c>
      <x:c r="G18" s="1" t="s">
        <x:v>129</x:v>
      </x:c>
      <x:c r="H18" s="1" t="s">
        <x:v>129</x:v>
      </x:c>
      <x:c r="I18" s="1" t="s">
        <x:v>129</x:v>
      </x:c>
      <x:c r="J18" s="1" t="s">
        <x:v>129</x:v>
      </x:c>
      <x:c r="K18" s="1" t="s">
        <x:v>130</x:v>
      </x:c>
      <x:c r="L18" s="1" t="s">
        <x:v>130</x:v>
      </x:c>
      <x:c r="M18" s="1" t="s">
        <x:v>130</x:v>
      </x:c>
      <x:c r="N18" s="1"/>
      <x:c r="O18" s="1" t="s">
        <x:v>131</x:v>
      </x:c>
      <x:c r="P18" s="1" t="s">
        <x:v>141</x:v>
      </x:c>
    </x:row>
    <x:row r="19" ht="42" customHeight="1">
      <x:c r="A19" s="1" t="s">
        <x:v>191</x:v>
      </x:c>
      <x:c r="B19" s="1" t="s">
        <x:v>192</x:v>
      </x:c>
      <x:c r="C19" s="1">
        <x:v>2025</x:v>
      </x:c>
      <x:c r="D19" s="1" t="s">
        <x:v>193</x:v>
      </x:c>
      <x:c r="E19" s="1" t="s">
        <x:v>194</x:v>
      </x:c>
      <x:c r="F19" s="1" t="s">
        <x:v>128</x:v>
      </x:c>
      <x:c r="G19" s="1" t="s">
        <x:v>129</x:v>
      </x:c>
      <x:c r="H19" s="1" t="s">
        <x:v>129</x:v>
      </x:c>
      <x:c r="I19" s="1" t="s">
        <x:v>129</x:v>
      </x:c>
      <x:c r="J19" s="1" t="s">
        <x:v>129</x:v>
      </x:c>
      <x:c r="K19" s="1" t="s">
        <x:v>130</x:v>
      </x:c>
      <x:c r="L19" s="1" t="s">
        <x:v>130</x:v>
      </x:c>
      <x:c r="M19" s="1" t="s">
        <x:v>130</x:v>
      </x:c>
      <x:c r="N19" s="1"/>
      <x:c r="O19" s="1" t="s">
        <x:v>131</x:v>
      </x:c>
      <x:c r="P19" s="1" t="s">
        <x:v>141</x:v>
      </x:c>
    </x:row>
    <x:row r="20" ht="42" customHeight="1">
      <x:c r="A20" s="1" t="s">
        <x:v>195</x:v>
      </x:c>
      <x:c r="B20" s="1" t="s">
        <x:v>196</x:v>
      </x:c>
      <x:c r="C20" s="1">
        <x:v>2026</x:v>
      </x:c>
      <x:c r="D20" s="1" t="s">
        <x:v>197</x:v>
      </x:c>
      <x:c r="E20" s="1" t="s">
        <x:v>140</x:v>
      </x:c>
      <x:c r="F20" s="1" t="s">
        <x:v>128</x:v>
      </x:c>
      <x:c r="G20" s="1" t="s">
        <x:v>129</x:v>
      </x:c>
      <x:c r="H20" s="1" t="s">
        <x:v>129</x:v>
      </x:c>
      <x:c r="I20" s="1" t="s">
        <x:v>129</x:v>
      </x:c>
      <x:c r="J20" s="1" t="s">
        <x:v>129</x:v>
      </x:c>
      <x:c r="K20" s="1" t="s">
        <x:v>130</x:v>
      </x:c>
      <x:c r="L20" s="1" t="s">
        <x:v>130</x:v>
      </x:c>
      <x:c r="M20" s="1" t="s">
        <x:v>130</x:v>
      </x:c>
      <x:c r="N20" s="1"/>
      <x:c r="O20" s="1" t="s">
        <x:v>131</x:v>
      </x:c>
      <x:c r="P20" s="1" t="s">
        <x:v>132</x:v>
      </x:c>
    </x:row>
    <x:row r="21" ht="42" customHeight="1">
      <x:c r="A21" s="1" t="s">
        <x:v>198</x:v>
      </x:c>
      <x:c r="B21" s="1" t="s">
        <x:v>199</x:v>
      </x:c>
      <x:c r="C21" s="1">
        <x:v>2026</x:v>
      </x:c>
      <x:c r="D21" s="1" t="s">
        <x:v>200</x:v>
      </x:c>
      <x:c r="E21" s="1" t="s">
        <x:v>201</x:v>
      </x:c>
      <x:c r="F21" s="1" t="s">
        <x:v>128</x:v>
      </x:c>
      <x:c r="G21" s="1" t="s">
        <x:v>129</x:v>
      </x:c>
      <x:c r="H21" s="1" t="s">
        <x:v>129</x:v>
      </x:c>
      <x:c r="I21" s="1" t="s">
        <x:v>129</x:v>
      </x:c>
      <x:c r="J21" s="1" t="s">
        <x:v>129</x:v>
      </x:c>
      <x:c r="K21" s="1" t="s">
        <x:v>130</x:v>
      </x:c>
      <x:c r="L21" s="1" t="s">
        <x:v>130</x:v>
      </x:c>
      <x:c r="M21" s="1" t="s">
        <x:v>130</x:v>
      </x:c>
      <x:c r="N21" s="1"/>
      <x:c r="O21" s="1" t="s">
        <x:v>131</x:v>
      </x:c>
      <x:c r="P21" s="1" t="s">
        <x:v>141</x:v>
      </x:c>
    </x:row>
    <x:row r="22" ht="42" customHeight="1">
      <x:c r="A22" s="1" t="s">
        <x:v>202</x:v>
      </x:c>
      <x:c r="B22" s="1" t="s">
        <x:v>203</x:v>
      </x:c>
      <x:c r="C22" s="1">
        <x:v>2025</x:v>
      </x:c>
      <x:c r="D22" s="1" t="s">
        <x:v>64</x:v>
      </x:c>
      <x:c r="E22" s="1" t="s">
        <x:v>44</x:v>
      </x:c>
      <x:c r="F22" s="1" t="s">
        <x:v>128</x:v>
      </x:c>
      <x:c r="G22" s="1" t="s">
        <x:v>204</x:v>
      </x:c>
      <x:c r="H22" s="1" t="s">
        <x:v>204</x:v>
      </x:c>
      <x:c r="I22" s="1" t="s">
        <x:v>204</x:v>
      </x:c>
      <x:c r="J22" s="1" t="s">
        <x:v>204</x:v>
      </x:c>
      <x:c r="K22" s="1" t="s">
        <x:v>204</x:v>
      </x:c>
      <x:c r="L22" s="1" t="s">
        <x:v>204</x:v>
      </x:c>
      <x:c r="M22" s="1" t="s">
        <x:v>204</x:v>
      </x:c>
      <x:c r="N22" s="1"/>
      <x:c r="O22" s="1" t="s">
        <x:v>205</x:v>
      </x:c>
      <x:c r="P22" s="1" t="s">
        <x:v>141</x:v>
      </x:c>
    </x:row>
    <x:row r="23" ht="42" customHeight="1">
      <x:c r="A23" s="1" t="s">
        <x:v>206</x:v>
      </x:c>
      <x:c r="B23" s="1" t="s">
        <x:v>207</x:v>
      </x:c>
      <x:c r="C23" s="1">
        <x:v>2025</x:v>
      </x:c>
      <x:c r="D23" s="1" t="s">
        <x:v>208</x:v>
      </x:c>
      <x:c r="E23" s="1" t="s">
        <x:v>190</x:v>
      </x:c>
      <x:c r="F23" s="1" t="s">
        <x:v>128</x:v>
      </x:c>
      <x:c r="G23" s="1" t="s">
        <x:v>204</x:v>
      </x:c>
      <x:c r="H23" s="1" t="s">
        <x:v>204</x:v>
      </x:c>
      <x:c r="I23" s="1" t="s">
        <x:v>129</x:v>
      </x:c>
      <x:c r="J23" s="1" t="s">
        <x:v>204</x:v>
      </x:c>
      <x:c r="K23" s="1" t="s">
        <x:v>130</x:v>
      </x:c>
      <x:c r="L23" s="1" t="s">
        <x:v>130</x:v>
      </x:c>
      <x:c r="M23" s="1" t="s">
        <x:v>130</x:v>
      </x:c>
      <x:c r="N23" s="1"/>
      <x:c r="O23" s="1" t="s">
        <x:v>131</x:v>
      </x:c>
      <x:c r="P23" s="1" t="s">
        <x:v>141</x:v>
      </x:c>
    </x:row>
    <x:row r="24" ht="42" customHeight="1">
      <x:c r="A24" s="1" t="s">
        <x:v>209</x:v>
      </x:c>
      <x:c r="B24" s="1" t="s">
        <x:v>210</x:v>
      </x:c>
      <x:c r="C24" s="1">
        <x:v>2025</x:v>
      </x:c>
      <x:c r="D24" s="1" t="s">
        <x:v>211</x:v>
      </x:c>
      <x:c r="E24" s="1" t="s">
        <x:v>14</x:v>
      </x:c>
      <x:c r="F24" s="1" t="s">
        <x:v>128</x:v>
      </x:c>
      <x:c r="G24" s="1" t="s">
        <x:v>212</x:v>
      </x:c>
      <x:c r="H24" s="1" t="s">
        <x:v>212</x:v>
      </x:c>
      <x:c r="I24" s="1" t="s">
        <x:v>212</x:v>
      </x:c>
      <x:c r="J24" s="1" t="s">
        <x:v>212</x:v>
      </x:c>
      <x:c r="K24" s="1" t="s">
        <x:v>213</x:v>
      </x:c>
      <x:c r="L24" s="1" t="s">
        <x:v>214</x:v>
      </x:c>
      <x:c r="M24" s="1" t="s">
        <x:v>213</x:v>
      </x:c>
      <x:c r="N24" s="1" t="s">
        <x:v>215</x:v>
      </x:c>
      <x:c r="O24" s="1" t="s">
        <x:v>216</x:v>
      </x:c>
      <x:c r="P24" s="1" t="s">
        <x:v>132</x:v>
      </x:c>
    </x:row>
    <x:row r="25" ht="42" customHeight="1">
      <x:c r="A25" s="1" t="s">
        <x:v>217</x:v>
      </x:c>
      <x:c r="B25" s="1" t="s">
        <x:v>218</x:v>
      </x:c>
      <x:c r="C25" s="1">
        <x:v>2026</x:v>
      </x:c>
      <x:c r="D25" s="1" t="s">
        <x:v>219</x:v>
      </x:c>
      <x:c r="E25" s="1" t="s">
        <x:v>220</x:v>
      </x:c>
      <x:c r="F25" s="1" t="s">
        <x:v>128</x:v>
      </x:c>
      <x:c r="G25" s="1" t="s">
        <x:v>129</x:v>
      </x:c>
      <x:c r="H25" s="1" t="s">
        <x:v>129</x:v>
      </x:c>
      <x:c r="I25" s="1" t="s">
        <x:v>129</x:v>
      </x:c>
      <x:c r="J25" s="1" t="s">
        <x:v>129</x:v>
      </x:c>
      <x:c r="K25" s="1" t="s">
        <x:v>130</x:v>
      </x:c>
      <x:c r="L25" s="1" t="s">
        <x:v>130</x:v>
      </x:c>
      <x:c r="M25" s="1" t="s">
        <x:v>130</x:v>
      </x:c>
      <x:c r="N25" s="1"/>
      <x:c r="O25" s="1" t="s">
        <x:v>131</x:v>
      </x:c>
      <x:c r="P25" s="1" t="s">
        <x:v>132</x:v>
      </x:c>
    </x:row>
    <x:row r="26" ht="42" customHeight="1">
      <x:c r="A26" s="1" t="s">
        <x:v>221</x:v>
      </x:c>
      <x:c r="B26" s="1" t="s">
        <x:v>222</x:v>
      </x:c>
      <x:c r="C26" s="1">
        <x:v>2025</x:v>
      </x:c>
      <x:c r="D26" s="1" t="s">
        <x:v>223</x:v>
      </x:c>
      <x:c r="E26" s="1" t="s">
        <x:v>14</x:v>
      </x:c>
      <x:c r="F26" s="1" t="s">
        <x:v>128</x:v>
      </x:c>
      <x:c r="G26" s="1" t="s">
        <x:v>129</x:v>
      </x:c>
      <x:c r="H26" s="1" t="s">
        <x:v>129</x:v>
      </x:c>
      <x:c r="I26" s="1" t="s">
        <x:v>212</x:v>
      </x:c>
      <x:c r="J26" s="1" t="s">
        <x:v>129</x:v>
      </x:c>
      <x:c r="K26" s="1" t="s">
        <x:v>213</x:v>
      </x:c>
      <x:c r="L26" s="1" t="s">
        <x:v>213</x:v>
      </x:c>
      <x:c r="M26" s="1" t="s">
        <x:v>213</x:v>
      </x:c>
      <x:c r="N26" s="1" t="s">
        <x:v>224</x:v>
      </x:c>
      <x:c r="O26" s="1" t="s">
        <x:v>225</x:v>
      </x:c>
      <x:c r="P26" s="1" t="s">
        <x:v>141</x:v>
      </x:c>
    </x:row>
    <x:row r="27" ht="42" customHeight="1">
      <x:c r="A27" s="1" t="s">
        <x:v>226</x:v>
      </x:c>
      <x:c r="B27" s="1" t="s">
        <x:v>227</x:v>
      </x:c>
      <x:c r="C27" s="1">
        <x:v>2026</x:v>
      </x:c>
      <x:c r="D27" s="1" t="s">
        <x:v>228</x:v>
      </x:c>
      <x:c r="E27" s="1" t="s">
        <x:v>229</x:v>
      </x:c>
      <x:c r="F27" s="1" t="s">
        <x:v>128</x:v>
      </x:c>
      <x:c r="G27" s="1" t="s">
        <x:v>129</x:v>
      </x:c>
      <x:c r="H27" s="1" t="s">
        <x:v>129</x:v>
      </x:c>
      <x:c r="I27" s="1" t="s">
        <x:v>212</x:v>
      </x:c>
      <x:c r="J27" s="1" t="s">
        <x:v>129</x:v>
      </x:c>
      <x:c r="K27" s="1" t="s">
        <x:v>213</x:v>
      </x:c>
      <x:c r="L27" s="1" t="s">
        <x:v>213</x:v>
      </x:c>
      <x:c r="M27" s="1" t="s">
        <x:v>213</x:v>
      </x:c>
      <x:c r="N27" s="1" t="s">
        <x:v>224</x:v>
      </x:c>
      <x:c r="O27" s="1" t="s">
        <x:v>230</x:v>
      </x:c>
      <x:c r="P27" s="1" t="s">
        <x:v>141</x:v>
      </x:c>
    </x:row>
    <x:row r="28" ht="42" customHeight="1">
      <x:c r="A28" s="1" t="s">
        <x:v>231</x:v>
      </x:c>
      <x:c r="B28" s="1" t="s">
        <x:v>232</x:v>
      </x:c>
      <x:c r="C28" s="1">
        <x:v>2025</x:v>
      </x:c>
      <x:c r="D28" s="1" t="s">
        <x:v>233</x:v>
      </x:c>
      <x:c r="E28" s="1" t="s">
        <x:v>234</x:v>
      </x:c>
      <x:c r="F28" s="1" t="s">
        <x:v>128</x:v>
      </x:c>
      <x:c r="G28" s="1" t="s">
        <x:v>129</x:v>
      </x:c>
      <x:c r="H28" s="1" t="s">
        <x:v>129</x:v>
      </x:c>
      <x:c r="I28" s="1" t="s">
        <x:v>129</x:v>
      </x:c>
      <x:c r="J28" s="1" t="s">
        <x:v>129</x:v>
      </x:c>
      <x:c r="K28" s="1" t="s">
        <x:v>130</x:v>
      </x:c>
      <x:c r="L28" s="1" t="s">
        <x:v>130</x:v>
      </x:c>
      <x:c r="M28" s="1" t="s">
        <x:v>130</x:v>
      </x:c>
      <x:c r="N28" s="1"/>
      <x:c r="O28" s="1" t="s">
        <x:v>131</x:v>
      </x:c>
      <x:c r="P28" s="1" t="s">
        <x:v>141</x:v>
      </x:c>
    </x:row>
    <x:row r="29" ht="42" customHeight="1">
      <x:c r="A29" s="1" t="s">
        <x:v>235</x:v>
      </x:c>
      <x:c r="B29" s="1" t="s">
        <x:v>236</x:v>
      </x:c>
      <x:c r="C29" s="1">
        <x:v>2024</x:v>
      </x:c>
      <x:c r="D29" s="1" t="s">
        <x:v>237</x:v>
      </x:c>
      <x:c r="E29" s="1" t="s">
        <x:v>33</x:v>
      </x:c>
      <x:c r="F29" s="1" t="s">
        <x:v>128</x:v>
      </x:c>
      <x:c r="G29" s="1" t="s">
        <x:v>212</x:v>
      </x:c>
      <x:c r="H29" s="1" t="s">
        <x:v>212</x:v>
      </x:c>
      <x:c r="I29" s="1" t="s">
        <x:v>212</x:v>
      </x:c>
      <x:c r="J29" s="1" t="s">
        <x:v>212</x:v>
      </x:c>
      <x:c r="K29" s="1" t="s">
        <x:v>213</x:v>
      </x:c>
      <x:c r="L29" s="1" t="s">
        <x:v>238</x:v>
      </x:c>
      <x:c r="M29" s="1" t="s">
        <x:v>213</x:v>
      </x:c>
      <x:c r="N29" s="1" t="s">
        <x:v>239</x:v>
      </x:c>
      <x:c r="O29" s="1" t="s">
        <x:v>240</x:v>
      </x:c>
      <x:c r="P29" s="1" t="s">
        <x:v>141</x:v>
      </x:c>
    </x:row>
    <x:row r="30" ht="42" customHeight="1">
      <x:c r="A30" s="1" t="s">
        <x:v>241</x:v>
      </x:c>
      <x:c r="B30" s="1" t="s">
        <x:v>242</x:v>
      </x:c>
      <x:c r="C30" s="1">
        <x:v>2026</x:v>
      </x:c>
      <x:c r="D30" s="1" t="s">
        <x:v>243</x:v>
      </x:c>
      <x:c r="E30" s="1" t="s">
        <x:v>244</x:v>
      </x:c>
      <x:c r="F30" s="1" t="s">
        <x:v>128</x:v>
      </x:c>
      <x:c r="G30" s="1" t="s">
        <x:v>129</x:v>
      </x:c>
      <x:c r="H30" s="1" t="s">
        <x:v>129</x:v>
      </x:c>
      <x:c r="I30" s="1" t="s">
        <x:v>129</x:v>
      </x:c>
      <x:c r="J30" s="1" t="s">
        <x:v>129</x:v>
      </x:c>
      <x:c r="K30" s="1" t="s">
        <x:v>130</x:v>
      </x:c>
      <x:c r="L30" s="1" t="s">
        <x:v>130</x:v>
      </x:c>
      <x:c r="M30" s="1" t="s">
        <x:v>130</x:v>
      </x:c>
      <x:c r="N30" s="1"/>
      <x:c r="O30" s="1" t="s">
        <x:v>131</x:v>
      </x:c>
      <x:c r="P30" s="1" t="s">
        <x:v>141</x:v>
      </x:c>
    </x:row>
    <x:row r="31" ht="42" customHeight="1">
      <x:c r="A31" s="1" t="s">
        <x:v>245</x:v>
      </x:c>
      <x:c r="B31" s="1" t="s">
        <x:v>246</x:v>
      </x:c>
      <x:c r="C31" s="1">
        <x:v>2026</x:v>
      </x:c>
      <x:c r="D31" s="1" t="s">
        <x:v>247</x:v>
      </x:c>
      <x:c r="E31" s="1" t="s">
        <x:v>244</x:v>
      </x:c>
      <x:c r="F31" s="1" t="s">
        <x:v>128</x:v>
      </x:c>
      <x:c r="G31" s="1" t="s">
        <x:v>129</x:v>
      </x:c>
      <x:c r="H31" s="1" t="s">
        <x:v>129</x:v>
      </x:c>
      <x:c r="I31" s="1" t="s">
        <x:v>129</x:v>
      </x:c>
      <x:c r="J31" s="1" t="s">
        <x:v>129</x:v>
      </x:c>
      <x:c r="K31" s="1" t="s">
        <x:v>130</x:v>
      </x:c>
      <x:c r="L31" s="1" t="s">
        <x:v>130</x:v>
      </x:c>
      <x:c r="M31" s="1" t="s">
        <x:v>130</x:v>
      </x:c>
      <x:c r="N31" s="1"/>
      <x:c r="O31" s="1" t="s">
        <x:v>131</x:v>
      </x:c>
      <x:c r="P31" s="1" t="s">
        <x:v>141</x:v>
      </x:c>
    </x:row>
    <x:row r="32" ht="42" customHeight="1">
      <x:c r="A32" s="1" t="s">
        <x:v>248</x:v>
      </x:c>
      <x:c r="B32" s="1" t="s">
        <x:v>249</x:v>
      </x:c>
      <x:c r="C32" s="1">
        <x:v>2025</x:v>
      </x:c>
      <x:c r="D32" s="1" t="s">
        <x:v>250</x:v>
      </x:c>
      <x:c r="E32" s="1" t="s">
        <x:v>244</x:v>
      </x:c>
      <x:c r="F32" s="1" t="s">
        <x:v>128</x:v>
      </x:c>
      <x:c r="G32" s="1" t="s">
        <x:v>129</x:v>
      </x:c>
      <x:c r="H32" s="1" t="s">
        <x:v>129</x:v>
      </x:c>
      <x:c r="I32" s="1" t="s">
        <x:v>212</x:v>
      </x:c>
      <x:c r="J32" s="1" t="s">
        <x:v>129</x:v>
      </x:c>
      <x:c r="K32" s="1" t="s">
        <x:v>213</x:v>
      </x:c>
      <x:c r="L32" s="1" t="s">
        <x:v>213</x:v>
      </x:c>
      <x:c r="M32" s="1" t="s">
        <x:v>213</x:v>
      </x:c>
      <x:c r="N32" s="1" t="s">
        <x:v>224</x:v>
      </x:c>
      <x:c r="O32" s="1" t="s">
        <x:v>251</x:v>
      </x:c>
      <x:c r="P32" s="1" t="s">
        <x:v>141</x:v>
      </x:c>
    </x:row>
    <x:row r="33" ht="42" customHeight="1">
      <x:c r="A33" s="1" t="s">
        <x:v>252</x:v>
      </x:c>
      <x:c r="B33" s="1" t="str">
        <x:v>IntelliRadar: A Comprehensive Platform to Pinpoint Malicious Packages from Cyber Intelligence</x:v>
      </x:c>
      <x:c r="C33" s="1">
        <x:v>2026</x:v>
      </x:c>
      <x:c r="D33" s="1" t="s">
        <x:v>253</x:v>
      </x:c>
      <x:c r="E33" s="1" t="s">
        <x:v>244</x:v>
      </x:c>
      <x:c r="F33" s="1" t="s">
        <x:v>128</x:v>
      </x:c>
      <x:c r="G33" s="1" t="s">
        <x:v>129</x:v>
      </x:c>
      <x:c r="H33" s="1" t="s">
        <x:v>129</x:v>
      </x:c>
      <x:c r="I33" s="1" t="s">
        <x:v>129</x:v>
      </x:c>
      <x:c r="J33" s="1" t="s">
        <x:v>129</x:v>
      </x:c>
      <x:c r="K33" s="1" t="s">
        <x:v>130</x:v>
      </x:c>
      <x:c r="L33" s="1" t="s">
        <x:v>130</x:v>
      </x:c>
      <x:c r="M33" s="1" t="s">
        <x:v>130</x:v>
      </x:c>
      <x:c r="N33" s="1"/>
      <x:c r="O33" s="1" t="s">
        <x:v>131</x:v>
      </x:c>
      <x:c r="P33" s="1" t="s">
        <x:v>141</x:v>
      </x:c>
    </x:row>
    <x:row r="34" ht="42" customHeight="1">
      <x:c r="A34" s="1" t="s">
        <x:v>254</x:v>
      </x:c>
      <x:c r="B34" s="1" t="s">
        <x:v>255</x:v>
      </x:c>
      <x:c r="C34" s="1">
        <x:v>2026</x:v>
      </x:c>
      <x:c r="D34" s="1" t="s">
        <x:v>256</x:v>
      </x:c>
      <x:c r="E34" s="1" t="s">
        <x:v>51</x:v>
      </x:c>
      <x:c r="F34" s="1" t="s">
        <x:v>128</x:v>
      </x:c>
      <x:c r="G34" s="1" t="s">
        <x:v>129</x:v>
      </x:c>
      <x:c r="H34" s="1" t="s">
        <x:v>129</x:v>
      </x:c>
      <x:c r="I34" s="1" t="s">
        <x:v>129</x:v>
      </x:c>
      <x:c r="J34" s="1" t="s">
        <x:v>129</x:v>
      </x:c>
      <x:c r="K34" s="1" t="s">
        <x:v>130</x:v>
      </x:c>
      <x:c r="L34" s="1" t="s">
        <x:v>130</x:v>
      </x:c>
      <x:c r="M34" s="1" t="s">
        <x:v>130</x:v>
      </x:c>
      <x:c r="N34" s="1"/>
      <x:c r="O34" s="1" t="s">
        <x:v>131</x:v>
      </x:c>
      <x:c r="P34" s="1" t="s">
        <x:v>141</x:v>
      </x:c>
    </x:row>
    <x:row r="35" ht="42" customHeight="1">
      <x:c r="A35" s="1" t="s">
        <x:v>257</x:v>
      </x:c>
      <x:c r="B35" s="1" t="s">
        <x:v>258</x:v>
      </x:c>
      <x:c r="C35" s="1">
        <x:v>2026</x:v>
      </x:c>
      <x:c r="D35" s="1" t="s">
        <x:v>259</x:v>
      </x:c>
      <x:c r="E35" s="1" t="s">
        <x:v>51</x:v>
      </x:c>
      <x:c r="F35" s="1" t="s">
        <x:v>128</x:v>
      </x:c>
      <x:c r="G35" s="1" t="s">
        <x:v>129</x:v>
      </x:c>
      <x:c r="H35" s="1" t="s">
        <x:v>129</x:v>
      </x:c>
      <x:c r="I35" s="1" t="s">
        <x:v>129</x:v>
      </x:c>
      <x:c r="J35" s="1" t="s">
        <x:v>129</x:v>
      </x:c>
      <x:c r="K35" s="1" t="s">
        <x:v>130</x:v>
      </x:c>
      <x:c r="L35" s="1" t="s">
        <x:v>130</x:v>
      </x:c>
      <x:c r="M35" s="1" t="s">
        <x:v>130</x:v>
      </x:c>
      <x:c r="N35" s="1"/>
      <x:c r="O35" s="1" t="s">
        <x:v>131</x:v>
      </x:c>
      <x:c r="P35" s="1" t="s">
        <x:v>141</x:v>
      </x:c>
    </x:row>
    <x:row r="36" ht="42" customHeight="1">
      <x:c r="A36" s="1" t="s">
        <x:v>260</x:v>
      </x:c>
      <x:c r="B36" s="1" t="s">
        <x:v>261</x:v>
      </x:c>
      <x:c r="C36" s="1">
        <x:v>2024</x:v>
      </x:c>
      <x:c r="D36" s="1" t="s">
        <x:v>262</x:v>
      </x:c>
      <x:c r="E36" s="1" t="s">
        <x:v>88</x:v>
      </x:c>
      <x:c r="F36" s="1" t="s">
        <x:v>128</x:v>
      </x:c>
      <x:c r="G36" s="1" t="s">
        <x:v>212</x:v>
      </x:c>
      <x:c r="H36" s="1" t="s">
        <x:v>129</x:v>
      </x:c>
      <x:c r="I36" s="1" t="s">
        <x:v>129</x:v>
      </x:c>
      <x:c r="J36" s="1" t="s">
        <x:v>129</x:v>
      </x:c>
      <x:c r="K36" s="1" t="s">
        <x:v>130</x:v>
      </x:c>
      <x:c r="L36" s="1" t="s">
        <x:v>213</x:v>
      </x:c>
      <x:c r="M36" s="1" t="s">
        <x:v>213</x:v>
      </x:c>
      <x:c r="N36" s="1" t="s">
        <x:v>263</x:v>
      </x:c>
      <x:c r="O36" s="1" t="s">
        <x:v>264</x:v>
      </x:c>
      <x:c r="P36" s="1" t="s">
        <x:v>265</x:v>
      </x:c>
    </x:row>
    <x:row r="37" ht="42" customHeight="1">
      <x:c r="A37" s="1" t="s">
        <x:v>266</x:v>
      </x:c>
      <x:c r="B37" s="1" t="s">
        <x:v>267</x:v>
      </x:c>
      <x:c r="C37" s="1">
        <x:v>2024</x:v>
      </x:c>
      <x:c r="D37" s="1" t="s">
        <x:v>268</x:v>
      </x:c>
      <x:c r="E37" s="1" t="s">
        <x:v>269</x:v>
      </x:c>
      <x:c r="F37" s="1" t="s">
        <x:v>128</x:v>
      </x:c>
      <x:c r="G37" s="1" t="s">
        <x:v>129</x:v>
      </x:c>
      <x:c r="H37" s="1" t="s">
        <x:v>129</x:v>
      </x:c>
      <x:c r="I37" s="1" t="s">
        <x:v>129</x:v>
      </x:c>
      <x:c r="J37" s="1" t="s">
        <x:v>129</x:v>
      </x:c>
      <x:c r="K37" s="1" t="s">
        <x:v>130</x:v>
      </x:c>
      <x:c r="L37" s="1" t="s">
        <x:v>130</x:v>
      </x:c>
      <x:c r="M37" s="1" t="s">
        <x:v>130</x:v>
      </x:c>
      <x:c r="N37" s="1"/>
      <x:c r="O37" s="1" t="s">
        <x:v>131</x:v>
      </x:c>
      <x:c r="P37" s="1" t="s">
        <x:v>265</x:v>
      </x:c>
    </x:row>
    <x:row r="38" ht="42" customHeight="1">
      <x:c r="A38" s="1" t="s">
        <x:v>270</x:v>
      </x:c>
      <x:c r="B38" s="1" t="s">
        <x:v>271</x:v>
      </x:c>
      <x:c r="C38" s="1"/>
      <x:c r="D38" s="1" t="s">
        <x:v>272</x:v>
      </x:c>
      <x:c r="E38" s="1" t="s">
        <x:v>51</x:v>
      </x:c>
      <x:c r="F38" s="1" t="s">
        <x:v>273</x:v>
      </x:c>
      <x:c r="G38" s="1"/>
      <x:c r="H38" s="1"/>
      <x:c r="I38" s="1"/>
      <x:c r="J38" s="1"/>
      <x:c r="K38" s="1" t="s">
        <x:v>213</x:v>
      </x:c>
      <x:c r="L38" s="1" t="s">
        <x:v>214</x:v>
      </x:c>
      <x:c r="M38" s="1" t="s">
        <x:v>213</x:v>
      </x:c>
      <x:c r="N38" s="1" t="s">
        <x:v>263</x:v>
      </x:c>
      <x:c r="O38" s="1" t="s">
        <x:v>274</x:v>
      </x:c>
      <x:c r="P38" s="1" t="s">
        <x:v>275</x:v>
      </x:c>
    </x:row>
    <x:row r="39" ht="42" customHeight="1">
      <x:c r="A39" s="1" t="s">
        <x:v>276</x:v>
      </x:c>
      <x:c r="B39" s="1" t="s">
        <x:v>277</x:v>
      </x:c>
      <x:c r="C39" s="1"/>
      <x:c r="D39" s="1" t="s">
        <x:v>278</x:v>
      </x:c>
      <x:c r="E39" s="1" t="s">
        <x:v>51</x:v>
      </x:c>
      <x:c r="F39" s="1" t="s">
        <x:v>273</x:v>
      </x:c>
      <x:c r="G39" s="1"/>
      <x:c r="H39" s="1"/>
      <x:c r="I39" s="1"/>
      <x:c r="J39" s="1"/>
      <x:c r="K39" s="1" t="s">
        <x:v>213</x:v>
      </x:c>
      <x:c r="L39" s="1" t="s">
        <x:v>214</x:v>
      </x:c>
      <x:c r="M39" s="1" t="s">
        <x:v>213</x:v>
      </x:c>
      <x:c r="N39" s="1" t="s">
        <x:v>279</x:v>
      </x:c>
      <x:c r="O39" s="1" t="s">
        <x:v>280</x:v>
      </x:c>
      <x:c r="P39" s="1" t="s">
        <x:v>275</x:v>
      </x:c>
    </x:row>
    <x:row r="40" ht="42" customHeight="1">
      <x:c r="A40" s="1" t="s">
        <x:v>281</x:v>
      </x:c>
      <x:c r="B40" s="1" t="s">
        <x:v>282</x:v>
      </x:c>
      <x:c r="C40" s="1"/>
      <x:c r="D40" s="1" t="s">
        <x:v>283</x:v>
      </x:c>
      <x:c r="E40" s="1" t="s">
        <x:v>51</x:v>
      </x:c>
      <x:c r="F40" s="1" t="s">
        <x:v>273</x:v>
      </x:c>
      <x:c r="G40" s="1"/>
      <x:c r="H40" s="1"/>
      <x:c r="I40" s="1"/>
      <x:c r="J40" s="1"/>
      <x:c r="K40" s="1" t="s">
        <x:v>213</x:v>
      </x:c>
      <x:c r="L40" s="1" t="s">
        <x:v>214</x:v>
      </x:c>
      <x:c r="M40" s="1" t="s">
        <x:v>213</x:v>
      </x:c>
      <x:c r="N40" s="1" t="s">
        <x:v>224</x:v>
      </x:c>
      <x:c r="O40" s="1" t="s">
        <x:v>284</x:v>
      </x:c>
      <x:c r="P40" s="1" t="s">
        <x:v>275</x:v>
      </x:c>
    </x:row>
    <x:row r="41" ht="42" customHeight="1">
      <x:c r="A41" s="1" t="s">
        <x:v>285</x:v>
      </x:c>
      <x:c r="B41" s="1" t="s">
        <x:v>286</x:v>
      </x:c>
      <x:c r="C41" s="1"/>
      <x:c r="D41" s="1" t="s">
        <x:v>287</x:v>
      </x:c>
      <x:c r="E41" s="1" t="s">
        <x:v>51</x:v>
      </x:c>
      <x:c r="F41" s="1" t="s">
        <x:v>273</x:v>
      </x:c>
      <x:c r="G41" s="1"/>
      <x:c r="H41" s="1"/>
      <x:c r="I41" s="1"/>
      <x:c r="J41" s="1"/>
      <x:c r="K41" s="1" t="s">
        <x:v>213</x:v>
      </x:c>
      <x:c r="L41" s="1" t="s">
        <x:v>214</x:v>
      </x:c>
      <x:c r="M41" s="1" t="s">
        <x:v>213</x:v>
      </x:c>
      <x:c r="N41" s="1" t="s">
        <x:v>263</x:v>
      </x:c>
      <x:c r="O41" s="1" t="s">
        <x:v>274</x:v>
      </x:c>
      <x:c r="P41" s="1" t="s">
        <x:v>275</x:v>
      </x:c>
    </x:row>
    <x:row r="42" ht="42" customHeight="1">
      <x:c r="A42" s="1" t="s">
        <x:v>288</x:v>
      </x:c>
      <x:c r="B42" s="1" t="s">
        <x:v>289</x:v>
      </x:c>
      <x:c r="C42" s="1"/>
      <x:c r="D42" s="1" t="s">
        <x:v>290</x:v>
      </x:c>
      <x:c r="E42" s="1" t="s">
        <x:v>51</x:v>
      </x:c>
      <x:c r="F42" s="1" t="s">
        <x:v>273</x:v>
      </x:c>
      <x:c r="G42" s="1"/>
      <x:c r="H42" s="1"/>
      <x:c r="I42" s="1"/>
      <x:c r="J42" s="1"/>
      <x:c r="K42" s="1" t="s">
        <x:v>213</x:v>
      </x:c>
      <x:c r="L42" s="1" t="s">
        <x:v>214</x:v>
      </x:c>
      <x:c r="M42" s="1" t="s">
        <x:v>213</x:v>
      </x:c>
      <x:c r="N42" s="1" t="s">
        <x:v>279</x:v>
      </x:c>
      <x:c r="O42" s="1" t="s">
        <x:v>280</x:v>
      </x:c>
      <x:c r="P42" s="1" t="s">
        <x:v>275</x:v>
      </x:c>
    </x:row>
    <x:row r="43" ht="42" customHeight="1">
      <x:c r="A43" s="1" t="s">
        <x:v>291</x:v>
      </x:c>
      <x:c r="B43" s="1" t="s">
        <x:v>292</x:v>
      </x:c>
      <x:c r="C43" s="1"/>
      <x:c r="D43" s="1" t="s">
        <x:v>293</x:v>
      </x:c>
      <x:c r="E43" s="1" t="s">
        <x:v>51</x:v>
      </x:c>
      <x:c r="F43" s="1" t="s">
        <x:v>273</x:v>
      </x:c>
      <x:c r="G43" s="1"/>
      <x:c r="H43" s="1"/>
      <x:c r="I43" s="1"/>
      <x:c r="J43" s="1"/>
      <x:c r="K43" s="1" t="s">
        <x:v>213</x:v>
      </x:c>
      <x:c r="L43" s="1" t="s">
        <x:v>214</x:v>
      </x:c>
      <x:c r="M43" s="1" t="s">
        <x:v>213</x:v>
      </x:c>
      <x:c r="N43" s="1" t="s">
        <x:v>263</x:v>
      </x:c>
      <x:c r="O43" s="1" t="s">
        <x:v>274</x:v>
      </x:c>
      <x:c r="P43" s="1" t="s">
        <x:v>275</x:v>
      </x:c>
    </x:row>
    <x:row r="44" ht="42" customHeight="1">
      <x:c r="A44" s="1" t="s">
        <x:v>294</x:v>
      </x:c>
      <x:c r="B44" s="1" t="s">
        <x:v>295</x:v>
      </x:c>
      <x:c r="C44" s="1"/>
      <x:c r="D44" s="1" t="s">
        <x:v>296</x:v>
      </x:c>
      <x:c r="E44" s="1" t="s">
        <x:v>51</x:v>
      </x:c>
      <x:c r="F44" s="1" t="s">
        <x:v>273</x:v>
      </x:c>
      <x:c r="G44" s="1"/>
      <x:c r="H44" s="1"/>
      <x:c r="I44" s="1"/>
      <x:c r="J44" s="1"/>
      <x:c r="K44" s="1" t="s">
        <x:v>213</x:v>
      </x:c>
      <x:c r="L44" s="1" t="s">
        <x:v>214</x:v>
      </x:c>
      <x:c r="M44" s="1" t="s">
        <x:v>213</x:v>
      </x:c>
      <x:c r="N44" s="1" t="s">
        <x:v>279</x:v>
      </x:c>
      <x:c r="O44" s="1" t="s">
        <x:v>280</x:v>
      </x:c>
      <x:c r="P44" s="1" t="s">
        <x:v>275</x:v>
      </x:c>
    </x:row>
    <x:row r="45" ht="42" customHeight="1">
      <x:c r="A45" s="1" t="s">
        <x:v>297</x:v>
      </x:c>
      <x:c r="B45" s="1" t="s">
        <x:v>298</x:v>
      </x:c>
      <x:c r="C45" s="1"/>
      <x:c r="D45" s="1" t="s">
        <x:v>299</x:v>
      </x:c>
      <x:c r="E45" s="1" t="s">
        <x:v>51</x:v>
      </x:c>
      <x:c r="F45" s="1" t="s">
        <x:v>273</x:v>
      </x:c>
      <x:c r="G45" s="1"/>
      <x:c r="H45" s="1"/>
      <x:c r="I45" s="1"/>
      <x:c r="J45" s="1"/>
      <x:c r="K45" s="1" t="s">
        <x:v>213</x:v>
      </x:c>
      <x:c r="L45" s="1" t="s">
        <x:v>214</x:v>
      </x:c>
      <x:c r="M45" s="1" t="s">
        <x:v>213</x:v>
      </x:c>
      <x:c r="N45" s="1" t="s">
        <x:v>263</x:v>
      </x:c>
      <x:c r="O45" s="1" t="s">
        <x:v>274</x:v>
      </x:c>
      <x:c r="P45" s="1" t="s">
        <x:v>275</x:v>
      </x:c>
    </x:row>
    <x:row r="46" ht="42" customHeight="1">
      <x:c r="A46" s="1" t="s">
        <x:v>300</x:v>
      </x:c>
      <x:c r="B46" s="1" t="s">
        <x:v>301</x:v>
      </x:c>
      <x:c r="C46" s="1"/>
      <x:c r="D46" s="1" t="s">
        <x:v>302</x:v>
      </x:c>
      <x:c r="E46" s="1" t="s">
        <x:v>51</x:v>
      </x:c>
      <x:c r="F46" s="1" t="s">
        <x:v>273</x:v>
      </x:c>
      <x:c r="G46" s="1"/>
      <x:c r="H46" s="1"/>
      <x:c r="I46" s="1"/>
      <x:c r="J46" s="1"/>
      <x:c r="K46" s="1" t="s">
        <x:v>213</x:v>
      </x:c>
      <x:c r="L46" s="1" t="s">
        <x:v>214</x:v>
      </x:c>
      <x:c r="M46" s="1" t="s">
        <x:v>213</x:v>
      </x:c>
      <x:c r="N46" s="1" t="s">
        <x:v>279</x:v>
      </x:c>
      <x:c r="O46" s="1" t="s">
        <x:v>280</x:v>
      </x:c>
      <x:c r="P46" s="1" t="s">
        <x:v>275</x:v>
      </x:c>
    </x:row>
    <x:row r="47" ht="42" customHeight="1">
      <x:c r="A47" s="1" t="s">
        <x:v>303</x:v>
      </x:c>
      <x:c r="B47" s="1" t="s">
        <x:v>304</x:v>
      </x:c>
      <x:c r="C47" s="1"/>
      <x:c r="D47" s="1" t="s">
        <x:v>305</x:v>
      </x:c>
      <x:c r="E47" s="1" t="s">
        <x:v>51</x:v>
      </x:c>
      <x:c r="F47" s="1" t="s">
        <x:v>273</x:v>
      </x:c>
      <x:c r="G47" s="1"/>
      <x:c r="H47" s="1"/>
      <x:c r="I47" s="1"/>
      <x:c r="J47" s="1"/>
      <x:c r="K47" s="1" t="s">
        <x:v>213</x:v>
      </x:c>
      <x:c r="L47" s="1" t="s">
        <x:v>214</x:v>
      </x:c>
      <x:c r="M47" s="1" t="s">
        <x:v>213</x:v>
      </x:c>
      <x:c r="N47" s="1" t="s">
        <x:v>263</x:v>
      </x:c>
      <x:c r="O47" s="1" t="s">
        <x:v>274</x:v>
      </x:c>
      <x:c r="P47" s="1" t="s">
        <x:v>275</x:v>
      </x:c>
    </x:row>
    <x:row r="48" ht="42" customHeight="1">
      <x:c r="A48" s="1" t="s">
        <x:v>306</x:v>
      </x:c>
      <x:c r="B48" s="1" t="s">
        <x:v>307</x:v>
      </x:c>
      <x:c r="C48" s="1"/>
      <x:c r="D48" s="1" t="s">
        <x:v>308</x:v>
      </x:c>
      <x:c r="E48" s="1" t="s">
        <x:v>51</x:v>
      </x:c>
      <x:c r="F48" s="1" t="s">
        <x:v>273</x:v>
      </x:c>
      <x:c r="G48" s="1"/>
      <x:c r="H48" s="1"/>
      <x:c r="I48" s="1"/>
      <x:c r="J48" s="1"/>
      <x:c r="K48" s="1" t="s">
        <x:v>213</x:v>
      </x:c>
      <x:c r="L48" s="1" t="s">
        <x:v>214</x:v>
      </x:c>
      <x:c r="M48" s="1" t="s">
        <x:v>213</x:v>
      </x:c>
      <x:c r="N48" s="1" t="s">
        <x:v>224</x:v>
      </x:c>
      <x:c r="O48" s="1" t="s">
        <x:v>284</x:v>
      </x:c>
      <x:c r="P48" s="1" t="s">
        <x:v>275</x:v>
      </x:c>
    </x:row>
    <x:row r="49" ht="42" customHeight="1">
      <x:c r="A49" s="1" t="s">
        <x:v>309</x:v>
      </x:c>
      <x:c r="B49" s="1" t="s">
        <x:v>310</x:v>
      </x:c>
      <x:c r="C49" s="1"/>
      <x:c r="D49" s="1" t="s">
        <x:v>311</x:v>
      </x:c>
      <x:c r="E49" s="1" t="s">
        <x:v>51</x:v>
      </x:c>
      <x:c r="F49" s="1" t="s">
        <x:v>273</x:v>
      </x:c>
      <x:c r="G49" s="1"/>
      <x:c r="H49" s="1"/>
      <x:c r="I49" s="1"/>
      <x:c r="J49" s="1"/>
      <x:c r="K49" s="1" t="s">
        <x:v>213</x:v>
      </x:c>
      <x:c r="L49" s="1" t="s">
        <x:v>214</x:v>
      </x:c>
      <x:c r="M49" s="1" t="s">
        <x:v>213</x:v>
      </x:c>
      <x:c r="N49" s="1" t="s">
        <x:v>263</x:v>
      </x:c>
      <x:c r="O49" s="1" t="s">
        <x:v>274</x:v>
      </x:c>
      <x:c r="P49" s="1" t="s">
        <x:v>275</x:v>
      </x:c>
    </x:row>
    <x:row r="50" ht="42" customHeight="1">
      <x:c r="A50" s="1" t="s">
        <x:v>312</x:v>
      </x:c>
      <x:c r="B50" s="1" t="s">
        <x:v>313</x:v>
      </x:c>
      <x:c r="C50" s="1"/>
      <x:c r="D50" s="1" t="s">
        <x:v>314</x:v>
      </x:c>
      <x:c r="E50" s="1" t="s">
        <x:v>51</x:v>
      </x:c>
      <x:c r="F50" s="1" t="s">
        <x:v>273</x:v>
      </x:c>
      <x:c r="G50" s="1"/>
      <x:c r="H50" s="1"/>
      <x:c r="I50" s="1"/>
      <x:c r="J50" s="1"/>
      <x:c r="K50" s="1" t="s">
        <x:v>213</x:v>
      </x:c>
      <x:c r="L50" s="1" t="s">
        <x:v>214</x:v>
      </x:c>
      <x:c r="M50" s="1" t="s">
        <x:v>213</x:v>
      </x:c>
      <x:c r="N50" s="1" t="s">
        <x:v>263</x:v>
      </x:c>
      <x:c r="O50" s="1" t="s">
        <x:v>274</x:v>
      </x:c>
      <x:c r="P50" s="1" t="s">
        <x:v>275</x:v>
      </x:c>
    </x:row>
    <x:row r="51" ht="42" customHeight="1">
      <x:c r="A51" s="1" t="s">
        <x:v>315</x:v>
      </x:c>
      <x:c r="B51" s="1" t="s">
        <x:v>316</x:v>
      </x:c>
      <x:c r="C51" s="1"/>
      <x:c r="D51" s="1" t="s">
        <x:v>317</x:v>
      </x:c>
      <x:c r="E51" s="1" t="s">
        <x:v>51</x:v>
      </x:c>
      <x:c r="F51" s="1" t="s">
        <x:v>273</x:v>
      </x:c>
      <x:c r="G51" s="1"/>
      <x:c r="H51" s="1"/>
      <x:c r="I51" s="1"/>
      <x:c r="J51" s="1"/>
      <x:c r="K51" s="1" t="s">
        <x:v>213</x:v>
      </x:c>
      <x:c r="L51" s="1" t="s">
        <x:v>214</x:v>
      </x:c>
      <x:c r="M51" s="1" t="s">
        <x:v>213</x:v>
      </x:c>
      <x:c r="N51" s="1" t="s">
        <x:v>279</x:v>
      </x:c>
      <x:c r="O51" s="1" t="s">
        <x:v>280</x:v>
      </x:c>
      <x:c r="P51" s="1" t="s">
        <x:v>275</x:v>
      </x:c>
    </x:row>
    <x:row r="52" ht="42" customHeight="1">
      <x:c r="A52" s="1" t="s">
        <x:v>318</x:v>
      </x:c>
      <x:c r="B52" s="1" t="s">
        <x:v>319</x:v>
      </x:c>
      <x:c r="C52" s="1"/>
      <x:c r="D52" s="1" t="s">
        <x:v>320</x:v>
      </x:c>
      <x:c r="E52" s="1" t="s">
        <x:v>51</x:v>
      </x:c>
      <x:c r="F52" s="1" t="s">
        <x:v>273</x:v>
      </x:c>
      <x:c r="G52" s="1"/>
      <x:c r="H52" s="1"/>
      <x:c r="I52" s="1"/>
      <x:c r="J52" s="1"/>
      <x:c r="K52" s="1" t="s">
        <x:v>213</x:v>
      </x:c>
      <x:c r="L52" s="1" t="s">
        <x:v>214</x:v>
      </x:c>
      <x:c r="M52" s="1" t="s">
        <x:v>213</x:v>
      </x:c>
      <x:c r="N52" s="1" t="s">
        <x:v>224</x:v>
      </x:c>
      <x:c r="O52" s="1" t="s">
        <x:v>284</x:v>
      </x:c>
      <x:c r="P52" s="1" t="s">
        <x:v>275</x:v>
      </x:c>
    </x:row>
    <x:row r="53" ht="42" customHeight="1">
      <x:c r="A53" s="1" t="s">
        <x:v>321</x:v>
      </x:c>
      <x:c r="B53" s="1" t="s">
        <x:v>322</x:v>
      </x:c>
      <x:c r="C53" s="1"/>
      <x:c r="D53" s="1" t="s">
        <x:v>323</x:v>
      </x:c>
      <x:c r="E53" s="1" t="s">
        <x:v>51</x:v>
      </x:c>
      <x:c r="F53" s="1" t="s">
        <x:v>273</x:v>
      </x:c>
      <x:c r="G53" s="1"/>
      <x:c r="H53" s="1"/>
      <x:c r="I53" s="1"/>
      <x:c r="J53" s="1"/>
      <x:c r="K53" s="1" t="s">
        <x:v>213</x:v>
      </x:c>
      <x:c r="L53" s="1" t="s">
        <x:v>214</x:v>
      </x:c>
      <x:c r="M53" s="1" t="s">
        <x:v>213</x:v>
      </x:c>
      <x:c r="N53" s="1" t="s">
        <x:v>263</x:v>
      </x:c>
      <x:c r="O53" s="1" t="s">
        <x:v>274</x:v>
      </x:c>
      <x:c r="P53" s="1" t="s">
        <x:v>275</x:v>
      </x:c>
    </x:row>
    <x:row r="54" ht="42" customHeight="1">
      <x:c r="A54" s="1" t="s">
        <x:v>324</x:v>
      </x:c>
      <x:c r="B54" s="1" t="s">
        <x:v>325</x:v>
      </x:c>
      <x:c r="C54" s="1"/>
      <x:c r="D54" s="1" t="s">
        <x:v>326</x:v>
      </x:c>
      <x:c r="E54" s="1" t="s">
        <x:v>51</x:v>
      </x:c>
      <x:c r="F54" s="1" t="s">
        <x:v>273</x:v>
      </x:c>
      <x:c r="G54" s="1"/>
      <x:c r="H54" s="1"/>
      <x:c r="I54" s="1"/>
      <x:c r="J54" s="1"/>
      <x:c r="K54" s="1" t="s">
        <x:v>213</x:v>
      </x:c>
      <x:c r="L54" s="1" t="s">
        <x:v>214</x:v>
      </x:c>
      <x:c r="M54" s="1" t="s">
        <x:v>213</x:v>
      </x:c>
      <x:c r="N54" s="1" t="s">
        <x:v>224</x:v>
      </x:c>
      <x:c r="O54" s="1" t="s">
        <x:v>284</x:v>
      </x:c>
      <x:c r="P54" s="1" t="s">
        <x:v>275</x:v>
      </x:c>
    </x:row>
    <x:row r="55" ht="42" customHeight="1">
      <x:c r="A55" s="1" t="s">
        <x:v>327</x:v>
      </x:c>
      <x:c r="B55" s="1" t="s">
        <x:v>328</x:v>
      </x:c>
      <x:c r="C55" s="1"/>
      <x:c r="D55" s="1" t="s">
        <x:v>329</x:v>
      </x:c>
      <x:c r="E55" s="1" t="s">
        <x:v>51</x:v>
      </x:c>
      <x:c r="F55" s="1" t="s">
        <x:v>273</x:v>
      </x:c>
      <x:c r="G55" s="1"/>
      <x:c r="H55" s="1"/>
      <x:c r="I55" s="1"/>
      <x:c r="J55" s="1"/>
      <x:c r="K55" s="1" t="s">
        <x:v>213</x:v>
      </x:c>
      <x:c r="L55" s="1" t="s">
        <x:v>214</x:v>
      </x:c>
      <x:c r="M55" s="1" t="s">
        <x:v>213</x:v>
      </x:c>
      <x:c r="N55" s="1" t="s">
        <x:v>224</x:v>
      </x:c>
      <x:c r="O55" s="1" t="s">
        <x:v>284</x:v>
      </x:c>
      <x:c r="P55" s="1" t="s">
        <x:v>275</x:v>
      </x:c>
    </x:row>
    <x:row r="56" ht="42" customHeight="1">
      <x:c r="A56" s="1" t="s">
        <x:v>330</x:v>
      </x:c>
      <x:c r="B56" s="1" t="s">
        <x:v>331</x:v>
      </x:c>
      <x:c r="C56" s="1"/>
      <x:c r="D56" s="1" t="s">
        <x:v>332</x:v>
      </x:c>
      <x:c r="E56" s="1" t="s">
        <x:v>51</x:v>
      </x:c>
      <x:c r="F56" s="1" t="s">
        <x:v>273</x:v>
      </x:c>
      <x:c r="G56" s="1"/>
      <x:c r="H56" s="1"/>
      <x:c r="I56" s="1"/>
      <x:c r="J56" s="1"/>
      <x:c r="K56" s="1" t="s">
        <x:v>213</x:v>
      </x:c>
      <x:c r="L56" s="1" t="s">
        <x:v>214</x:v>
      </x:c>
      <x:c r="M56" s="1" t="s">
        <x:v>213</x:v>
      </x:c>
      <x:c r="N56" s="1" t="s">
        <x:v>279</x:v>
      </x:c>
      <x:c r="O56" s="1" t="s">
        <x:v>280</x:v>
      </x:c>
      <x:c r="P56" s="1" t="s">
        <x:v>275</x:v>
      </x:c>
    </x:row>
    <x:row r="57" ht="42" customHeight="1">
      <x:c r="A57" s="1" t="s">
        <x:v>333</x:v>
      </x:c>
      <x:c r="B57" s="1" t="s">
        <x:v>334</x:v>
      </x:c>
      <x:c r="C57" s="1"/>
      <x:c r="D57" s="1" t="s">
        <x:v>335</x:v>
      </x:c>
      <x:c r="E57" s="1" t="s">
        <x:v>51</x:v>
      </x:c>
      <x:c r="F57" s="1" t="s">
        <x:v>273</x:v>
      </x:c>
      <x:c r="G57" s="1"/>
      <x:c r="H57" s="1"/>
      <x:c r="I57" s="1"/>
      <x:c r="J57" s="1"/>
      <x:c r="K57" s="1" t="s">
        <x:v>213</x:v>
      </x:c>
      <x:c r="L57" s="1" t="s">
        <x:v>214</x:v>
      </x:c>
      <x:c r="M57" s="1" t="s">
        <x:v>213</x:v>
      </x:c>
      <x:c r="N57" s="1" t="s">
        <x:v>263</x:v>
      </x:c>
      <x:c r="O57" s="1" t="s">
        <x:v>274</x:v>
      </x:c>
      <x:c r="P57" s="1" t="s">
        <x:v>275</x:v>
      </x:c>
    </x:row>
    <x:row r="58" ht="42" customHeight="1">
      <x:c r="A58" s="1" t="s">
        <x:v>336</x:v>
      </x:c>
      <x:c r="B58" s="1" t="s">
        <x:v>337</x:v>
      </x:c>
      <x:c r="C58" s="1"/>
      <x:c r="D58" s="1" t="s">
        <x:v>338</x:v>
      </x:c>
      <x:c r="E58" s="1" t="s">
        <x:v>51</x:v>
      </x:c>
      <x:c r="F58" s="1" t="s">
        <x:v>273</x:v>
      </x:c>
      <x:c r="G58" s="1"/>
      <x:c r="H58" s="1"/>
      <x:c r="I58" s="1"/>
      <x:c r="J58" s="1"/>
      <x:c r="K58" s="1" t="s">
        <x:v>213</x:v>
      </x:c>
      <x:c r="L58" s="1" t="s">
        <x:v>214</x:v>
      </x:c>
      <x:c r="M58" s="1" t="s">
        <x:v>213</x:v>
      </x:c>
      <x:c r="N58" s="1" t="s">
        <x:v>279</x:v>
      </x:c>
      <x:c r="O58" s="1" t="s">
        <x:v>280</x:v>
      </x:c>
      <x:c r="P58" s="1" t="s">
        <x:v>275</x:v>
      </x:c>
    </x:row>
    <x:row r="59" ht="42" customHeight="1">
      <x:c r="A59" s="1" t="s">
        <x:v>339</x:v>
      </x:c>
      <x:c r="B59" s="1" t="s">
        <x:v>340</x:v>
      </x:c>
      <x:c r="C59" s="1"/>
      <x:c r="D59" s="1" t="s">
        <x:v>341</x:v>
      </x:c>
      <x:c r="E59" s="1" t="s">
        <x:v>83</x:v>
      </x:c>
      <x:c r="F59" s="1" t="s">
        <x:v>273</x:v>
      </x:c>
      <x:c r="G59" s="1"/>
      <x:c r="H59" s="1"/>
      <x:c r="I59" s="1"/>
      <x:c r="J59" s="1"/>
      <x:c r="K59" s="1" t="s">
        <x:v>213</x:v>
      </x:c>
      <x:c r="L59" s="1" t="s">
        <x:v>214</x:v>
      </x:c>
      <x:c r="M59" s="1" t="s">
        <x:v>213</x:v>
      </x:c>
      <x:c r="N59" s="1"/>
      <x:c r="O59" s="1" t="s">
        <x:v>342</x:v>
      </x:c>
      <x:c r="P59" s="1" t="s">
        <x:v>141</x:v>
      </x:c>
    </x:row>
    <x:row r="60" ht="42" customHeight="1">
      <x:c r="A60" s="1" t="s">
        <x:v>343</x:v>
      </x:c>
      <x:c r="B60" s="1" t="s">
        <x:v>292</x:v>
      </x:c>
      <x:c r="C60" s="1"/>
      <x:c r="D60" s="1" t="s">
        <x:v>293</x:v>
      </x:c>
      <x:c r="E60" s="1" t="s">
        <x:v>83</x:v>
      </x:c>
      <x:c r="F60" s="1" t="s">
        <x:v>273</x:v>
      </x:c>
      <x:c r="G60" s="1"/>
      <x:c r="H60" s="1"/>
      <x:c r="I60" s="1"/>
      <x:c r="J60" s="1"/>
      <x:c r="K60" s="1" t="s">
        <x:v>213</x:v>
      </x:c>
      <x:c r="L60" s="1" t="s">
        <x:v>214</x:v>
      </x:c>
      <x:c r="M60" s="1" t="s">
        <x:v>213</x:v>
      </x:c>
      <x:c r="N60" s="1"/>
      <x:c r="O60" s="1" t="s">
        <x:v>344</x:v>
      </x:c>
      <x:c r="P60" s="1" t="s">
        <x:v>141</x:v>
      </x:c>
    </x:row>
    <x:row r="61" ht="42" customHeight="1">
      <x:c r="A61" s="1" t="s">
        <x:v>345</x:v>
      </x:c>
      <x:c r="B61" s="1" t="s">
        <x:v>346</x:v>
      </x:c>
      <x:c r="C61" s="1"/>
      <x:c r="D61" s="1" t="s">
        <x:v>347</x:v>
      </x:c>
      <x:c r="E61" s="1" t="s">
        <x:v>83</x:v>
      </x:c>
      <x:c r="F61" s="1" t="s">
        <x:v>273</x:v>
      </x:c>
      <x:c r="G61" s="1"/>
      <x:c r="H61" s="1"/>
      <x:c r="I61" s="1"/>
      <x:c r="J61" s="1"/>
      <x:c r="K61" s="1" t="s">
        <x:v>213</x:v>
      </x:c>
      <x:c r="L61" s="1" t="s">
        <x:v>214</x:v>
      </x:c>
      <x:c r="M61" s="1" t="s">
        <x:v>213</x:v>
      </x:c>
      <x:c r="N61" s="1"/>
      <x:c r="O61" s="1" t="s">
        <x:v>348</x:v>
      </x:c>
      <x:c r="P61" s="1" t="s">
        <x:v>141</x:v>
      </x:c>
    </x:row>
    <x:row r="62" ht="42" customHeight="1">
      <x:c r="A62" s="1" t="s">
        <x:v>349</x:v>
      </x:c>
      <x:c r="B62" s="1" t="s">
        <x:v>350</x:v>
      </x:c>
      <x:c r="C62" s="1"/>
      <x:c r="D62" s="1" t="s">
        <x:v>351</x:v>
      </x:c>
      <x:c r="E62" s="1" t="s">
        <x:v>76</x:v>
      </x:c>
      <x:c r="F62" s="1" t="s">
        <x:v>273</x:v>
      </x:c>
      <x:c r="G62" s="1"/>
      <x:c r="H62" s="1"/>
      <x:c r="I62" s="1"/>
      <x:c r="J62" s="1"/>
      <x:c r="K62" s="1" t="s">
        <x:v>213</x:v>
      </x:c>
      <x:c r="L62" s="1" t="s">
        <x:v>214</x:v>
      </x:c>
      <x:c r="M62" s="1" t="s">
        <x:v>213</x:v>
      </x:c>
      <x:c r="N62" s="1"/>
      <x:c r="O62" s="1" t="s">
        <x:v>352</x:v>
      </x:c>
      <x:c r="P62" s="1" t="s">
        <x:v>141</x:v>
      </x:c>
    </x:row>
    <x:row r="63" ht="42" customHeight="1">
      <x:c r="A63" s="1" t="s">
        <x:v>353</x:v>
      </x:c>
      <x:c r="B63" s="1" t="s">
        <x:v>354</x:v>
      </x:c>
      <x:c r="C63" s="1"/>
      <x:c r="D63" s="1" t="s">
        <x:v>355</x:v>
      </x:c>
      <x:c r="E63" s="1" t="s">
        <x:v>88</x:v>
      </x:c>
      <x:c r="F63" s="1" t="s">
        <x:v>273</x:v>
      </x:c>
      <x:c r="G63" s="1"/>
      <x:c r="H63" s="1"/>
      <x:c r="I63" s="1"/>
      <x:c r="J63" s="1"/>
      <x:c r="K63" s="1" t="s">
        <x:v>213</x:v>
      </x:c>
      <x:c r="L63" s="1" t="s">
        <x:v>214</x:v>
      </x:c>
      <x:c r="M63" s="1" t="s">
        <x:v>213</x:v>
      </x:c>
      <x:c r="N63" s="1" t="s">
        <x:v>263</x:v>
      </x:c>
      <x:c r="O63" s="1" t="s">
        <x:v>356</x:v>
      </x:c>
      <x:c r="P63" s="1" t="s">
        <x:v>265</x:v>
      </x:c>
    </x:row>
    <x:row r="64" ht="42" customHeight="1">
      <x:c r="A64" s="1" t="s">
        <x:v>357</x:v>
      </x:c>
      <x:c r="B64" s="1" t="s">
        <x:v>358</x:v>
      </x:c>
      <x:c r="C64" s="1"/>
      <x:c r="D64" s="1" t="s">
        <x:v>359</x:v>
      </x:c>
      <x:c r="E64" s="1" t="s">
        <x:v>88</x:v>
      </x:c>
      <x:c r="F64" s="1" t="s">
        <x:v>273</x:v>
      </x:c>
      <x:c r="G64" s="1"/>
      <x:c r="H64" s="1"/>
      <x:c r="I64" s="1"/>
      <x:c r="J64" s="1"/>
      <x:c r="K64" s="1" t="s">
        <x:v>213</x:v>
      </x:c>
      <x:c r="L64" s="1" t="s">
        <x:v>214</x:v>
      </x:c>
      <x:c r="M64" s="1" t="s">
        <x:v>213</x:v>
      </x:c>
      <x:c r="N64" s="1" t="s">
        <x:v>263</x:v>
      </x:c>
      <x:c r="O64" s="1" t="s">
        <x:v>356</x:v>
      </x:c>
      <x:c r="P64" s="1" t="s">
        <x:v>265</x:v>
      </x:c>
    </x:row>
    <x:row r="65" ht="42" customHeight="1">
      <x:c r="A65" s="1" t="s">
        <x:v>360</x:v>
      </x:c>
      <x:c r="B65" s="1" t="s">
        <x:v>361</x:v>
      </x:c>
      <x:c r="C65" s="1"/>
      <x:c r="D65" s="1" t="s">
        <x:v>362</x:v>
      </x:c>
      <x:c r="E65" s="1" t="s">
        <x:v>88</x:v>
      </x:c>
      <x:c r="F65" s="1" t="s">
        <x:v>273</x:v>
      </x:c>
      <x:c r="G65" s="1"/>
      <x:c r="H65" s="1"/>
      <x:c r="I65" s="1"/>
      <x:c r="J65" s="1"/>
      <x:c r="K65" s="1" t="s">
        <x:v>213</x:v>
      </x:c>
      <x:c r="L65" s="1" t="s">
        <x:v>214</x:v>
      </x:c>
      <x:c r="M65" s="1" t="s">
        <x:v>213</x:v>
      </x:c>
      <x:c r="N65" s="1" t="s">
        <x:v>279</x:v>
      </x:c>
      <x:c r="O65" s="1" t="s">
        <x:v>363</x:v>
      </x:c>
      <x:c r="P65" s="1" t="s">
        <x:v>265</x:v>
      </x:c>
    </x:row>
    <x:row r="66" ht="42" customHeight="1">
      <x:c r="A66" s="1" t="s">
        <x:v>364</x:v>
      </x:c>
      <x:c r="B66" s="1" t="s">
        <x:v>365</x:v>
      </x:c>
      <x:c r="C66" s="1"/>
      <x:c r="D66" s="1" t="s">
        <x:v>366</x:v>
      </x:c>
      <x:c r="E66" s="1" t="s">
        <x:v>88</x:v>
      </x:c>
      <x:c r="F66" s="1" t="s">
        <x:v>273</x:v>
      </x:c>
      <x:c r="G66" s="1"/>
      <x:c r="H66" s="1"/>
      <x:c r="I66" s="1"/>
      <x:c r="J66" s="1"/>
      <x:c r="K66" s="1" t="s">
        <x:v>213</x:v>
      </x:c>
      <x:c r="L66" s="1" t="s">
        <x:v>214</x:v>
      </x:c>
      <x:c r="M66" s="1" t="s">
        <x:v>213</x:v>
      </x:c>
      <x:c r="N66" s="1" t="s">
        <x:v>279</x:v>
      </x:c>
      <x:c r="O66" s="1" t="s">
        <x:v>363</x:v>
      </x:c>
      <x:c r="P66" s="1" t="s">
        <x:v>265</x:v>
      </x:c>
    </x:row>
    <x:row r="67" ht="42" customHeight="1">
      <x:c r="A67" s="1" t="s">
        <x:v>367</x:v>
      </x:c>
      <x:c r="B67" s="1" t="s">
        <x:v>368</x:v>
      </x:c>
      <x:c r="C67" s="1"/>
      <x:c r="D67" s="1" t="s">
        <x:v>369</x:v>
      </x:c>
      <x:c r="E67" s="1" t="s">
        <x:v>88</x:v>
      </x:c>
      <x:c r="F67" s="1" t="s">
        <x:v>273</x:v>
      </x:c>
      <x:c r="G67" s="1"/>
      <x:c r="H67" s="1"/>
      <x:c r="I67" s="1"/>
      <x:c r="J67" s="1"/>
      <x:c r="K67" s="1" t="s">
        <x:v>213</x:v>
      </x:c>
      <x:c r="L67" s="1" t="s">
        <x:v>214</x:v>
      </x:c>
      <x:c r="M67" s="1" t="s">
        <x:v>213</x:v>
      </x:c>
      <x:c r="N67" s="1" t="s">
        <x:v>263</x:v>
      </x:c>
      <x:c r="O67" s="1" t="s">
        <x:v>356</x:v>
      </x:c>
      <x:c r="P67" s="1" t="s">
        <x:v>265</x:v>
      </x:c>
    </x:row>
    <x:row r="68" ht="42" customHeight="1">
      <x:c r="A68" s="1" t="s">
        <x:v>370</x:v>
      </x:c>
      <x:c r="B68" s="1" t="s">
        <x:v>371</x:v>
      </x:c>
      <x:c r="C68" s="1"/>
      <x:c r="D68" s="1" t="s">
        <x:v>372</x:v>
      </x:c>
      <x:c r="E68" s="1" t="s">
        <x:v>88</x:v>
      </x:c>
      <x:c r="F68" s="1" t="s">
        <x:v>273</x:v>
      </x:c>
      <x:c r="G68" s="1"/>
      <x:c r="H68" s="1"/>
      <x:c r="I68" s="1"/>
      <x:c r="J68" s="1"/>
      <x:c r="K68" s="1" t="s">
        <x:v>213</x:v>
      </x:c>
      <x:c r="L68" s="1" t="s">
        <x:v>214</x:v>
      </x:c>
      <x:c r="M68" s="1" t="s">
        <x:v>213</x:v>
      </x:c>
      <x:c r="N68" s="1" t="s">
        <x:v>279</x:v>
      </x:c>
      <x:c r="O68" s="1" t="s">
        <x:v>363</x:v>
      </x:c>
      <x:c r="P68" s="1" t="s">
        <x:v>265</x:v>
      </x:c>
    </x:row>
    <x:row r="69" ht="42" customHeight="1">
      <x:c r="A69" s="1" t="s">
        <x:v>373</x:v>
      </x:c>
      <x:c r="B69" s="1" t="s">
        <x:v>374</x:v>
      </x:c>
      <x:c r="C69" s="1"/>
      <x:c r="D69" s="1" t="s">
        <x:v>375</x:v>
      </x:c>
      <x:c r="E69" s="1" t="s">
        <x:v>88</x:v>
      </x:c>
      <x:c r="F69" s="1" t="s">
        <x:v>273</x:v>
      </x:c>
      <x:c r="G69" s="1"/>
      <x:c r="H69" s="1"/>
      <x:c r="I69" s="1"/>
      <x:c r="J69" s="1"/>
      <x:c r="K69" s="1" t="s">
        <x:v>213</x:v>
      </x:c>
      <x:c r="L69" s="1" t="s">
        <x:v>214</x:v>
      </x:c>
      <x:c r="M69" s="1" t="s">
        <x:v>213</x:v>
      </x:c>
      <x:c r="N69" s="1" t="s">
        <x:v>263</x:v>
      </x:c>
      <x:c r="O69" s="1" t="s">
        <x:v>356</x:v>
      </x:c>
      <x:c r="P69" s="1" t="s">
        <x:v>265</x:v>
      </x:c>
    </x:row>
    <x:row r="70" ht="42" customHeight="1">
      <x:c r="A70" s="1" t="s">
        <x:v>376</x:v>
      </x:c>
      <x:c r="B70" s="1" t="s">
        <x:v>377</x:v>
      </x:c>
      <x:c r="C70" s="1"/>
      <x:c r="D70" s="1" t="s">
        <x:v>378</x:v>
      </x:c>
      <x:c r="E70" s="1" t="s">
        <x:v>88</x:v>
      </x:c>
      <x:c r="F70" s="1" t="s">
        <x:v>273</x:v>
      </x:c>
      <x:c r="G70" s="1"/>
      <x:c r="H70" s="1"/>
      <x:c r="I70" s="1"/>
      <x:c r="J70" s="1"/>
      <x:c r="K70" s="1" t="s">
        <x:v>213</x:v>
      </x:c>
      <x:c r="L70" s="1" t="s">
        <x:v>214</x:v>
      </x:c>
      <x:c r="M70" s="1" t="s">
        <x:v>213</x:v>
      </x:c>
      <x:c r="N70" s="1" t="s">
        <x:v>263</x:v>
      </x:c>
      <x:c r="O70" s="1" t="s">
        <x:v>356</x:v>
      </x:c>
      <x:c r="P70" s="1" t="s">
        <x:v>265</x:v>
      </x:c>
    </x:row>
    <x:row r="71" ht="42" customHeight="1">
      <x:c r="A71" s="1" t="s">
        <x:v>379</x:v>
      </x:c>
      <x:c r="B71" s="1" t="s">
        <x:v>380</x:v>
      </x:c>
      <x:c r="C71" s="1"/>
      <x:c r="D71" s="1" t="s">
        <x:v>381</x:v>
      </x:c>
      <x:c r="E71" s="1" t="s">
        <x:v>88</x:v>
      </x:c>
      <x:c r="F71" s="1" t="s">
        <x:v>273</x:v>
      </x:c>
      <x:c r="G71" s="1"/>
      <x:c r="H71" s="1"/>
      <x:c r="I71" s="1"/>
      <x:c r="J71" s="1"/>
      <x:c r="K71" s="1" t="s">
        <x:v>213</x:v>
      </x:c>
      <x:c r="L71" s="1" t="s">
        <x:v>214</x:v>
      </x:c>
      <x:c r="M71" s="1" t="s">
        <x:v>213</x:v>
      </x:c>
      <x:c r="N71" s="1" t="s">
        <x:v>279</x:v>
      </x:c>
      <x:c r="O71" s="1" t="s">
        <x:v>363</x:v>
      </x:c>
      <x:c r="P71" s="1" t="s">
        <x:v>265</x:v>
      </x:c>
    </x:row>
    <x:row r="72" ht="42" customHeight="1">
      <x:c r="A72" s="1" t="s">
        <x:v>382</x:v>
      </x:c>
      <x:c r="B72" s="1" t="s">
        <x:v>383</x:v>
      </x:c>
      <x:c r="C72" s="1"/>
      <x:c r="D72" s="1" t="s">
        <x:v>384</x:v>
      </x:c>
      <x:c r="E72" s="1" t="s">
        <x:v>88</x:v>
      </x:c>
      <x:c r="F72" s="1" t="s">
        <x:v>273</x:v>
      </x:c>
      <x:c r="G72" s="1"/>
      <x:c r="H72" s="1"/>
      <x:c r="I72" s="1"/>
      <x:c r="J72" s="1"/>
      <x:c r="K72" s="1" t="s">
        <x:v>213</x:v>
      </x:c>
      <x:c r="L72" s="1" t="s">
        <x:v>214</x:v>
      </x:c>
      <x:c r="M72" s="1" t="s">
        <x:v>213</x:v>
      </x:c>
      <x:c r="N72" s="1" t="s">
        <x:v>263</x:v>
      </x:c>
      <x:c r="O72" s="1" t="s">
        <x:v>356</x:v>
      </x:c>
      <x:c r="P72" s="1" t="s">
        <x:v>265</x:v>
      </x:c>
    </x:row>
    <x:row r="73" ht="42" customHeight="1">
      <x:c r="A73" s="1" t="s">
        <x:v>385</x:v>
      </x:c>
      <x:c r="B73" s="1" t="s">
        <x:v>386</x:v>
      </x:c>
      <x:c r="C73" s="1"/>
      <x:c r="D73" s="1" t="s">
        <x:v>387</x:v>
      </x:c>
      <x:c r="E73" s="1" t="s">
        <x:v>88</x:v>
      </x:c>
      <x:c r="F73" s="1" t="s">
        <x:v>273</x:v>
      </x:c>
      <x:c r="G73" s="1"/>
      <x:c r="H73" s="1"/>
      <x:c r="I73" s="1"/>
      <x:c r="J73" s="1"/>
      <x:c r="K73" s="1" t="s">
        <x:v>213</x:v>
      </x:c>
      <x:c r="L73" s="1" t="s">
        <x:v>214</x:v>
      </x:c>
      <x:c r="M73" s="1" t="s">
        <x:v>213</x:v>
      </x:c>
      <x:c r="N73" s="1" t="s">
        <x:v>279</x:v>
      </x:c>
      <x:c r="O73" s="1" t="s">
        <x:v>363</x:v>
      </x:c>
      <x:c r="P73" s="1" t="s">
        <x:v>265</x:v>
      </x:c>
    </x:row>
    <x:row r="74" ht="42" customHeight="1">
      <x:c r="A74" s="1" t="s">
        <x:v>388</x:v>
      </x:c>
      <x:c r="B74" s="1" t="s">
        <x:v>389</x:v>
      </x:c>
      <x:c r="C74" s="1"/>
      <x:c r="D74" s="1" t="s">
        <x:v>390</x:v>
      </x:c>
      <x:c r="E74" s="1" t="s">
        <x:v>88</x:v>
      </x:c>
      <x:c r="F74" s="1" t="s">
        <x:v>273</x:v>
      </x:c>
      <x:c r="G74" s="1"/>
      <x:c r="H74" s="1"/>
      <x:c r="I74" s="1"/>
      <x:c r="J74" s="1"/>
      <x:c r="K74" s="1" t="s">
        <x:v>213</x:v>
      </x:c>
      <x:c r="L74" s="1" t="s">
        <x:v>214</x:v>
      </x:c>
      <x:c r="M74" s="1" t="s">
        <x:v>213</x:v>
      </x:c>
      <x:c r="N74" s="1" t="s">
        <x:v>263</x:v>
      </x:c>
      <x:c r="O74" s="1" t="s">
        <x:v>356</x:v>
      </x:c>
      <x:c r="P74" s="1" t="s">
        <x:v>265</x:v>
      </x:c>
    </x:row>
    <x:row r="75" ht="42" customHeight="1">
      <x:c r="A75" s="1" t="s">
        <x:v>391</x:v>
      </x:c>
      <x:c r="B75" s="1" t="s">
        <x:v>392</x:v>
      </x:c>
      <x:c r="C75" s="1"/>
      <x:c r="D75" s="1" t="s">
        <x:v>393</x:v>
      </x:c>
      <x:c r="E75" s="1" t="s">
        <x:v>88</x:v>
      </x:c>
      <x:c r="F75" s="1" t="s">
        <x:v>273</x:v>
      </x:c>
      <x:c r="G75" s="1"/>
      <x:c r="H75" s="1"/>
      <x:c r="I75" s="1"/>
      <x:c r="J75" s="1"/>
      <x:c r="K75" s="1" t="s">
        <x:v>213</x:v>
      </x:c>
      <x:c r="L75" s="1" t="s">
        <x:v>214</x:v>
      </x:c>
      <x:c r="M75" s="1" t="s">
        <x:v>213</x:v>
      </x:c>
      <x:c r="N75" s="1" t="s">
        <x:v>224</x:v>
      </x:c>
      <x:c r="O75" s="1" t="s">
        <x:v>394</x:v>
      </x:c>
      <x:c r="P75" s="1" t="s">
        <x:v>265</x:v>
      </x:c>
    </x:row>
    <x:row r="76" ht="42" customHeight="1">
      <x:c r="A76" s="1" t="s">
        <x:v>395</x:v>
      </x:c>
      <x:c r="B76" s="1" t="s">
        <x:v>396</x:v>
      </x:c>
      <x:c r="C76" s="1"/>
      <x:c r="D76" s="1" t="s">
        <x:v>397</x:v>
      </x:c>
      <x:c r="E76" s="1" t="s">
        <x:v>88</x:v>
      </x:c>
      <x:c r="F76" s="1" t="s">
        <x:v>273</x:v>
      </x:c>
      <x:c r="G76" s="1"/>
      <x:c r="H76" s="1"/>
      <x:c r="I76" s="1"/>
      <x:c r="J76" s="1"/>
      <x:c r="K76" s="1" t="s">
        <x:v>213</x:v>
      </x:c>
      <x:c r="L76" s="1" t="s">
        <x:v>214</x:v>
      </x:c>
      <x:c r="M76" s="1" t="s">
        <x:v>213</x:v>
      </x:c>
      <x:c r="N76" s="1" t="s">
        <x:v>263</x:v>
      </x:c>
      <x:c r="O76" s="1" t="s">
        <x:v>356</x:v>
      </x:c>
      <x:c r="P76" s="1" t="s">
        <x:v>265</x:v>
      </x:c>
    </x:row>
    <x:row r="77" ht="42" customHeight="1">
      <x:c r="A77" s="1" t="s">
        <x:v>398</x:v>
      </x:c>
      <x:c r="B77" s="1" t="s">
        <x:v>399</x:v>
      </x:c>
      <x:c r="C77" s="1"/>
      <x:c r="D77" s="1" t="s">
        <x:v>400</x:v>
      </x:c>
      <x:c r="E77" s="1" t="s">
        <x:v>88</x:v>
      </x:c>
      <x:c r="F77" s="1" t="s">
        <x:v>273</x:v>
      </x:c>
      <x:c r="G77" s="1"/>
      <x:c r="H77" s="1"/>
      <x:c r="I77" s="1"/>
      <x:c r="J77" s="1"/>
      <x:c r="K77" s="1" t="s">
        <x:v>213</x:v>
      </x:c>
      <x:c r="L77" s="1" t="s">
        <x:v>214</x:v>
      </x:c>
      <x:c r="M77" s="1" t="s">
        <x:v>213</x:v>
      </x:c>
      <x:c r="N77" s="1" t="s">
        <x:v>263</x:v>
      </x:c>
      <x:c r="O77" s="1" t="s">
        <x:v>356</x:v>
      </x:c>
      <x:c r="P77" s="1" t="s">
        <x:v>265</x:v>
      </x:c>
    </x:row>
    <x:row r="78" ht="42" customHeight="1">
      <x:c r="A78" s="1" t="s">
        <x:v>401</x:v>
      </x:c>
      <x:c r="B78" s="1" t="s">
        <x:v>402</x:v>
      </x:c>
      <x:c r="C78" s="1"/>
      <x:c r="D78" s="1"/>
      <x:c r="E78" s="1" t="s">
        <x:v>88</x:v>
      </x:c>
      <x:c r="F78" s="1" t="s">
        <x:v>273</x:v>
      </x:c>
      <x:c r="G78" s="1"/>
      <x:c r="H78" s="1"/>
      <x:c r="I78" s="1"/>
      <x:c r="J78" s="1"/>
      <x:c r="K78" s="1" t="s">
        <x:v>213</x:v>
      </x:c>
      <x:c r="L78" s="1" t="s">
        <x:v>214</x:v>
      </x:c>
      <x:c r="M78" s="1" t="s">
        <x:v>213</x:v>
      </x:c>
      <x:c r="N78" s="1" t="s">
        <x:v>263</x:v>
      </x:c>
      <x:c r="O78" s="1" t="s">
        <x:v>403</x:v>
      </x:c>
      <x:c r="P78" s="1" t="s">
        <x:v>265</x:v>
      </x:c>
    </x:row>
    <x:row r="79" ht="42" customHeight="1">
      <x:c r="A79" s="1" t="s">
        <x:v>404</x:v>
      </x:c>
      <x:c r="B79" s="1" t="s">
        <x:v>405</x:v>
      </x:c>
      <x:c r="C79" s="1"/>
      <x:c r="D79" s="1" t="s">
        <x:v>406</x:v>
      </x:c>
      <x:c r="E79" s="1" t="s">
        <x:v>88</x:v>
      </x:c>
      <x:c r="F79" s="1" t="s">
        <x:v>273</x:v>
      </x:c>
      <x:c r="G79" s="1"/>
      <x:c r="H79" s="1"/>
      <x:c r="I79" s="1"/>
      <x:c r="J79" s="1"/>
      <x:c r="K79" s="1" t="s">
        <x:v>213</x:v>
      </x:c>
      <x:c r="L79" s="1" t="s">
        <x:v>214</x:v>
      </x:c>
      <x:c r="M79" s="1" t="s">
        <x:v>213</x:v>
      </x:c>
      <x:c r="N79" s="1" t="s">
        <x:v>263</x:v>
      </x:c>
      <x:c r="O79" s="1" t="s">
        <x:v>356</x:v>
      </x:c>
      <x:c r="P79" s="1" t="s">
        <x:v>265</x:v>
      </x:c>
    </x:row>
    <x:row r="80" ht="42" customHeight="1">
      <x:c r="A80" s="1" t="s">
        <x:v>407</x:v>
      </x:c>
      <x:c r="B80" s="1" t="s">
        <x:v>408</x:v>
      </x:c>
      <x:c r="C80" s="1"/>
      <x:c r="D80" s="1" t="s">
        <x:v>409</x:v>
      </x:c>
      <x:c r="E80" s="1" t="s">
        <x:v>88</x:v>
      </x:c>
      <x:c r="F80" s="1" t="s">
        <x:v>273</x:v>
      </x:c>
      <x:c r="G80" s="1"/>
      <x:c r="H80" s="1"/>
      <x:c r="I80" s="1"/>
      <x:c r="J80" s="1"/>
      <x:c r="K80" s="1" t="s">
        <x:v>213</x:v>
      </x:c>
      <x:c r="L80" s="1" t="s">
        <x:v>214</x:v>
      </x:c>
      <x:c r="M80" s="1" t="s">
        <x:v>213</x:v>
      </x:c>
      <x:c r="N80" s="1" t="s">
        <x:v>263</x:v>
      </x:c>
      <x:c r="O80" s="1" t="s">
        <x:v>356</x:v>
      </x:c>
      <x:c r="P80" s="1" t="s">
        <x:v>265</x:v>
      </x:c>
    </x:row>
    <x:row r="81" ht="42" customHeight="1">
      <x:c r="A81" s="1" t="s">
        <x:v>410</x:v>
      </x:c>
      <x:c r="B81" s="1" t="s">
        <x:v>411</x:v>
      </x:c>
      <x:c r="C81" s="1"/>
      <x:c r="D81" s="1"/>
      <x:c r="E81" s="1" t="s">
        <x:v>88</x:v>
      </x:c>
      <x:c r="F81" s="1" t="s">
        <x:v>273</x:v>
      </x:c>
      <x:c r="G81" s="1"/>
      <x:c r="H81" s="1"/>
      <x:c r="I81" s="1"/>
      <x:c r="J81" s="1"/>
      <x:c r="K81" s="1" t="s">
        <x:v>213</x:v>
      </x:c>
      <x:c r="L81" s="1" t="s">
        <x:v>214</x:v>
      </x:c>
      <x:c r="M81" s="1" t="s">
        <x:v>213</x:v>
      </x:c>
      <x:c r="N81" s="1" t="s">
        <x:v>263</x:v>
      </x:c>
      <x:c r="O81" s="1" t="s">
        <x:v>403</x:v>
      </x:c>
      <x:c r="P81" s="1" t="s">
        <x:v>265</x:v>
      </x:c>
    </x:row>
    <x:row r="82" ht="42" customHeight="1">
      <x:c r="A82" s="1" t="s">
        <x:v>412</x:v>
      </x:c>
      <x:c r="B82" s="1" t="s">
        <x:v>413</x:v>
      </x:c>
      <x:c r="C82" s="1"/>
      <x:c r="D82" s="1" t="s">
        <x:v>414</x:v>
      </x:c>
      <x:c r="E82" s="1" t="s">
        <x:v>88</x:v>
      </x:c>
      <x:c r="F82" s="1" t="s">
        <x:v>273</x:v>
      </x:c>
      <x:c r="G82" s="1"/>
      <x:c r="H82" s="1"/>
      <x:c r="I82" s="1"/>
      <x:c r="J82" s="1"/>
      <x:c r="K82" s="1" t="s">
        <x:v>213</x:v>
      </x:c>
      <x:c r="L82" s="1" t="s">
        <x:v>214</x:v>
      </x:c>
      <x:c r="M82" s="1" t="s">
        <x:v>213</x:v>
      </x:c>
      <x:c r="N82" s="1" t="s">
        <x:v>263</x:v>
      </x:c>
      <x:c r="O82" s="1" t="s">
        <x:v>356</x:v>
      </x:c>
      <x:c r="P82" s="1" t="s">
        <x:v>265</x:v>
      </x:c>
    </x:row>
    <x:row r="83" ht="42" customHeight="1">
      <x:c r="A83" s="1" t="s">
        <x:v>415</x:v>
      </x:c>
      <x:c r="B83" s="1" t="s">
        <x:v>416</x:v>
      </x:c>
      <x:c r="C83" s="1"/>
      <x:c r="D83" s="1"/>
      <x:c r="E83" s="1" t="s">
        <x:v>88</x:v>
      </x:c>
      <x:c r="F83" s="1" t="s">
        <x:v>273</x:v>
      </x:c>
      <x:c r="G83" s="1"/>
      <x:c r="H83" s="1"/>
      <x:c r="I83" s="1"/>
      <x:c r="J83" s="1"/>
      <x:c r="K83" s="1" t="s">
        <x:v>213</x:v>
      </x:c>
      <x:c r="L83" s="1" t="s">
        <x:v>214</x:v>
      </x:c>
      <x:c r="M83" s="1" t="s">
        <x:v>213</x:v>
      </x:c>
      <x:c r="N83" s="1" t="s">
        <x:v>263</x:v>
      </x:c>
      <x:c r="O83" s="1" t="s">
        <x:v>403</x:v>
      </x:c>
      <x:c r="P83" s="1" t="s">
        <x:v>265</x:v>
      </x:c>
    </x:row>
    <x:row r="84" ht="42" customHeight="1">
      <x:c r="A84" s="1" t="s">
        <x:v>417</x:v>
      </x:c>
      <x:c r="B84" s="1" t="s">
        <x:v>418</x:v>
      </x:c>
      <x:c r="C84" s="1"/>
      <x:c r="D84" s="1" t="s">
        <x:v>419</x:v>
      </x:c>
      <x:c r="E84" s="1" t="s">
        <x:v>88</x:v>
      </x:c>
      <x:c r="F84" s="1" t="s">
        <x:v>273</x:v>
      </x:c>
      <x:c r="G84" s="1"/>
      <x:c r="H84" s="1"/>
      <x:c r="I84" s="1"/>
      <x:c r="J84" s="1"/>
      <x:c r="K84" s="1" t="s">
        <x:v>213</x:v>
      </x:c>
      <x:c r="L84" s="1" t="s">
        <x:v>214</x:v>
      </x:c>
      <x:c r="M84" s="1" t="s">
        <x:v>213</x:v>
      </x:c>
      <x:c r="N84" s="1" t="s">
        <x:v>263</x:v>
      </x:c>
      <x:c r="O84" s="1" t="s">
        <x:v>356</x:v>
      </x:c>
      <x:c r="P84" s="1" t="s">
        <x:v>265</x:v>
      </x:c>
    </x:row>
    <x:row r="85" ht="42" customHeight="1">
      <x:c r="A85" s="1" t="s">
        <x:v>420</x:v>
      </x:c>
      <x:c r="B85" s="1" t="s">
        <x:v>421</x:v>
      </x:c>
      <x:c r="C85" s="1"/>
      <x:c r="D85" s="1" t="s">
        <x:v>422</x:v>
      </x:c>
      <x:c r="E85" s="1" t="s">
        <x:v>88</x:v>
      </x:c>
      <x:c r="F85" s="1" t="s">
        <x:v>273</x:v>
      </x:c>
      <x:c r="G85" s="1"/>
      <x:c r="H85" s="1"/>
      <x:c r="I85" s="1"/>
      <x:c r="J85" s="1"/>
      <x:c r="K85" s="1" t="s">
        <x:v>213</x:v>
      </x:c>
      <x:c r="L85" s="1" t="s">
        <x:v>214</x:v>
      </x:c>
      <x:c r="M85" s="1" t="s">
        <x:v>213</x:v>
      </x:c>
      <x:c r="N85" s="1" t="s">
        <x:v>215</x:v>
      </x:c>
      <x:c r="O85" s="1" t="s">
        <x:v>423</x:v>
      </x:c>
      <x:c r="P85" s="1" t="s">
        <x:v>265</x:v>
      </x:c>
    </x:row>
    <x:row r="86" ht="42" customHeight="1">
      <x:c r="A86" s="1" t="s">
        <x:v>424</x:v>
      </x:c>
      <x:c r="B86" s="1" t="s">
        <x:v>425</x:v>
      </x:c>
      <x:c r="C86" s="1"/>
      <x:c r="D86" s="1"/>
      <x:c r="E86" s="1" t="s">
        <x:v>88</x:v>
      </x:c>
      <x:c r="F86" s="1" t="s">
        <x:v>273</x:v>
      </x:c>
      <x:c r="G86" s="1"/>
      <x:c r="H86" s="1"/>
      <x:c r="I86" s="1"/>
      <x:c r="J86" s="1"/>
      <x:c r="K86" s="1" t="s">
        <x:v>213</x:v>
      </x:c>
      <x:c r="L86" s="1" t="s">
        <x:v>214</x:v>
      </x:c>
      <x:c r="M86" s="1" t="s">
        <x:v>213</x:v>
      </x:c>
      <x:c r="N86" s="1" t="s">
        <x:v>263</x:v>
      </x:c>
      <x:c r="O86" s="1" t="s">
        <x:v>403</x:v>
      </x:c>
      <x:c r="P86" s="1" t="s">
        <x:v>265</x:v>
      </x:c>
    </x:row>
    <x:row r="87" ht="42" customHeight="1">
      <x:c r="A87" s="1" t="s">
        <x:v>426</x:v>
      </x:c>
      <x:c r="B87" s="1" t="s">
        <x:v>427</x:v>
      </x:c>
      <x:c r="C87" s="1"/>
      <x:c r="D87" s="1" t="s">
        <x:v>428</x:v>
      </x:c>
      <x:c r="E87" s="1" t="s">
        <x:v>88</x:v>
      </x:c>
      <x:c r="F87" s="1" t="s">
        <x:v>273</x:v>
      </x:c>
      <x:c r="G87" s="1"/>
      <x:c r="H87" s="1"/>
      <x:c r="I87" s="1"/>
      <x:c r="J87" s="1"/>
      <x:c r="K87" s="1" t="s">
        <x:v>213</x:v>
      </x:c>
      <x:c r="L87" s="1" t="s">
        <x:v>214</x:v>
      </x:c>
      <x:c r="M87" s="1" t="s">
        <x:v>213</x:v>
      </x:c>
      <x:c r="N87" s="1" t="s">
        <x:v>279</x:v>
      </x:c>
      <x:c r="O87" s="1" t="s">
        <x:v>363</x:v>
      </x:c>
      <x:c r="P87" s="1" t="s">
        <x:v>265</x:v>
      </x:c>
    </x:row>
    <x:row r="88" ht="42" customHeight="1">
      <x:c r="A88" s="1" t="s">
        <x:v>429</x:v>
      </x:c>
      <x:c r="B88" s="1" t="s">
        <x:v>430</x:v>
      </x:c>
      <x:c r="C88" s="1"/>
      <x:c r="D88" s="1"/>
      <x:c r="E88" s="1" t="s">
        <x:v>88</x:v>
      </x:c>
      <x:c r="F88" s="1" t="s">
        <x:v>273</x:v>
      </x:c>
      <x:c r="G88" s="1"/>
      <x:c r="H88" s="1"/>
      <x:c r="I88" s="1"/>
      <x:c r="J88" s="1"/>
      <x:c r="K88" s="1" t="s">
        <x:v>213</x:v>
      </x:c>
      <x:c r="L88" s="1" t="s">
        <x:v>214</x:v>
      </x:c>
      <x:c r="M88" s="1" t="s">
        <x:v>213</x:v>
      </x:c>
      <x:c r="N88" s="1" t="s">
        <x:v>263</x:v>
      </x:c>
      <x:c r="O88" s="1" t="s">
        <x:v>403</x:v>
      </x:c>
      <x:c r="P88" s="1" t="s">
        <x:v>265</x:v>
      </x:c>
    </x:row>
    <x:row r="89" ht="42" customHeight="1">
      <x:c r="A89" s="1" t="s">
        <x:v>431</x:v>
      </x:c>
      <x:c r="B89" s="1" t="s">
        <x:v>432</x:v>
      </x:c>
      <x:c r="C89" s="1"/>
      <x:c r="D89" s="1"/>
      <x:c r="E89" s="1" t="s">
        <x:v>88</x:v>
      </x:c>
      <x:c r="F89" s="1" t="s">
        <x:v>273</x:v>
      </x:c>
      <x:c r="G89" s="1"/>
      <x:c r="H89" s="1"/>
      <x:c r="I89" s="1"/>
      <x:c r="J89" s="1"/>
      <x:c r="K89" s="1" t="s">
        <x:v>213</x:v>
      </x:c>
      <x:c r="L89" s="1" t="s">
        <x:v>214</x:v>
      </x:c>
      <x:c r="M89" s="1" t="s">
        <x:v>213</x:v>
      </x:c>
      <x:c r="N89" s="1" t="s">
        <x:v>263</x:v>
      </x:c>
      <x:c r="O89" s="1" t="s">
        <x:v>403</x:v>
      </x:c>
      <x:c r="P89" s="1" t="s">
        <x:v>265</x:v>
      </x:c>
    </x:row>
    <x:row r="90" ht="42" customHeight="1">
      <x:c r="A90" s="1" t="s">
        <x:v>433</x:v>
      </x:c>
      <x:c r="B90" s="1" t="s">
        <x:v>434</x:v>
      </x:c>
      <x:c r="C90" s="1"/>
      <x:c r="D90" s="1"/>
      <x:c r="E90" s="1" t="s">
        <x:v>88</x:v>
      </x:c>
      <x:c r="F90" s="1" t="s">
        <x:v>273</x:v>
      </x:c>
      <x:c r="G90" s="1"/>
      <x:c r="H90" s="1"/>
      <x:c r="I90" s="1"/>
      <x:c r="J90" s="1"/>
      <x:c r="K90" s="1" t="s">
        <x:v>213</x:v>
      </x:c>
      <x:c r="L90" s="1" t="s">
        <x:v>214</x:v>
      </x:c>
      <x:c r="M90" s="1" t="s">
        <x:v>213</x:v>
      </x:c>
      <x:c r="N90" s="1" t="s">
        <x:v>263</x:v>
      </x:c>
      <x:c r="O90" s="1" t="s">
        <x:v>403</x:v>
      </x:c>
      <x:c r="P90" s="1" t="s">
        <x:v>265</x:v>
      </x:c>
    </x:row>
    <x:row r="91" ht="42" customHeight="1">
      <x:c r="A91" s="1" t="s">
        <x:v>435</x:v>
      </x:c>
      <x:c r="B91" s="1" t="s">
        <x:v>436</x:v>
      </x:c>
      <x:c r="C91" s="1"/>
      <x:c r="D91" s="1"/>
      <x:c r="E91" s="1" t="s">
        <x:v>88</x:v>
      </x:c>
      <x:c r="F91" s="1" t="s">
        <x:v>273</x:v>
      </x:c>
      <x:c r="G91" s="1"/>
      <x:c r="H91" s="1"/>
      <x:c r="I91" s="1"/>
      <x:c r="J91" s="1"/>
      <x:c r="K91" s="1" t="s">
        <x:v>213</x:v>
      </x:c>
      <x:c r="L91" s="1" t="s">
        <x:v>214</x:v>
      </x:c>
      <x:c r="M91" s="1" t="s">
        <x:v>213</x:v>
      </x:c>
      <x:c r="N91" s="1" t="s">
        <x:v>263</x:v>
      </x:c>
      <x:c r="O91" s="1" t="s">
        <x:v>403</x:v>
      </x:c>
      <x:c r="P91" s="1" t="s">
        <x:v>265</x:v>
      </x:c>
    </x:row>
    <x:row r="92" ht="42" customHeight="1">
      <x:c r="A92" s="1" t="s">
        <x:v>437</x:v>
      </x:c>
      <x:c r="B92" s="1" t="s">
        <x:v>438</x:v>
      </x:c>
      <x:c r="C92" s="1"/>
      <x:c r="D92" s="1"/>
      <x:c r="E92" s="1" t="s">
        <x:v>88</x:v>
      </x:c>
      <x:c r="F92" s="1" t="s">
        <x:v>273</x:v>
      </x:c>
      <x:c r="G92" s="1"/>
      <x:c r="H92" s="1"/>
      <x:c r="I92" s="1"/>
      <x:c r="J92" s="1"/>
      <x:c r="K92" s="1" t="s">
        <x:v>213</x:v>
      </x:c>
      <x:c r="L92" s="1" t="s">
        <x:v>214</x:v>
      </x:c>
      <x:c r="M92" s="1" t="s">
        <x:v>213</x:v>
      </x:c>
      <x:c r="N92" s="1" t="s">
        <x:v>263</x:v>
      </x:c>
      <x:c r="O92" s="1" t="s">
        <x:v>403</x:v>
      </x:c>
      <x:c r="P92" s="1" t="s">
        <x:v>265</x:v>
      </x:c>
    </x:row>
    <x:row r="93" ht="42" customHeight="1">
      <x:c r="A93" s="1" t="s">
        <x:v>439</x:v>
      </x:c>
      <x:c r="B93" s="1" t="s">
        <x:v>440</x:v>
      </x:c>
      <x:c r="C93" s="1"/>
      <x:c r="D93" s="1" t="s">
        <x:v>441</x:v>
      </x:c>
      <x:c r="E93" s="1" t="s">
        <x:v>88</x:v>
      </x:c>
      <x:c r="F93" s="1" t="s">
        <x:v>273</x:v>
      </x:c>
      <x:c r="G93" s="1"/>
      <x:c r="H93" s="1"/>
      <x:c r="I93" s="1"/>
      <x:c r="J93" s="1"/>
      <x:c r="K93" s="1" t="s">
        <x:v>213</x:v>
      </x:c>
      <x:c r="L93" s="1" t="s">
        <x:v>214</x:v>
      </x:c>
      <x:c r="M93" s="1" t="s">
        <x:v>213</x:v>
      </x:c>
      <x:c r="N93" s="1" t="s">
        <x:v>263</x:v>
      </x:c>
      <x:c r="O93" s="1" t="s">
        <x:v>356</x:v>
      </x:c>
      <x:c r="P93" s="1" t="s">
        <x:v>265</x:v>
      </x:c>
    </x:row>
    <x:row r="94" ht="42" customHeight="1">
      <x:c r="A94" s="1" t="s">
        <x:v>442</x:v>
      </x:c>
      <x:c r="B94" s="1" t="s">
        <x:v>443</x:v>
      </x:c>
      <x:c r="C94" s="1"/>
      <x:c r="D94" s="1"/>
      <x:c r="E94" s="1" t="s">
        <x:v>88</x:v>
      </x:c>
      <x:c r="F94" s="1" t="s">
        <x:v>273</x:v>
      </x:c>
      <x:c r="G94" s="1"/>
      <x:c r="H94" s="1"/>
      <x:c r="I94" s="1"/>
      <x:c r="J94" s="1"/>
      <x:c r="K94" s="1" t="s">
        <x:v>213</x:v>
      </x:c>
      <x:c r="L94" s="1" t="s">
        <x:v>214</x:v>
      </x:c>
      <x:c r="M94" s="1" t="s">
        <x:v>213</x:v>
      </x:c>
      <x:c r="N94" s="1" t="s">
        <x:v>263</x:v>
      </x:c>
      <x:c r="O94" s="1" t="s">
        <x:v>403</x:v>
      </x:c>
      <x:c r="P94" s="1" t="s">
        <x:v>265</x:v>
      </x:c>
    </x:row>
    <x:row r="95" ht="42" customHeight="1">
      <x:c r="A95" s="1" t="s">
        <x:v>444</x:v>
      </x:c>
      <x:c r="B95" s="1" t="s">
        <x:v>445</x:v>
      </x:c>
      <x:c r="C95" s="1"/>
      <x:c r="D95" s="1"/>
      <x:c r="E95" s="1" t="s">
        <x:v>88</x:v>
      </x:c>
      <x:c r="F95" s="1" t="s">
        <x:v>273</x:v>
      </x:c>
      <x:c r="G95" s="1"/>
      <x:c r="H95" s="1"/>
      <x:c r="I95" s="1"/>
      <x:c r="J95" s="1"/>
      <x:c r="K95" s="1" t="s">
        <x:v>213</x:v>
      </x:c>
      <x:c r="L95" s="1" t="s">
        <x:v>214</x:v>
      </x:c>
      <x:c r="M95" s="1" t="s">
        <x:v>213</x:v>
      </x:c>
      <x:c r="N95" s="1" t="s">
        <x:v>263</x:v>
      </x:c>
      <x:c r="O95" s="1" t="s">
        <x:v>403</x:v>
      </x:c>
      <x:c r="P95" s="1" t="s">
        <x:v>265</x:v>
      </x:c>
    </x:row>
    <x:row r="96" ht="42" customHeight="1">
      <x:c r="A96" s="1" t="s">
        <x:v>446</x:v>
      </x:c>
      <x:c r="B96" s="1" t="s">
        <x:v>447</x:v>
      </x:c>
      <x:c r="C96" s="1"/>
      <x:c r="D96" s="1"/>
      <x:c r="E96" s="1" t="s">
        <x:v>88</x:v>
      </x:c>
      <x:c r="F96" s="1" t="s">
        <x:v>273</x:v>
      </x:c>
      <x:c r="G96" s="1"/>
      <x:c r="H96" s="1"/>
      <x:c r="I96" s="1"/>
      <x:c r="J96" s="1"/>
      <x:c r="K96" s="1" t="s">
        <x:v>213</x:v>
      </x:c>
      <x:c r="L96" s="1" t="s">
        <x:v>214</x:v>
      </x:c>
      <x:c r="M96" s="1" t="s">
        <x:v>213</x:v>
      </x:c>
      <x:c r="N96" s="1" t="s">
        <x:v>263</x:v>
      </x:c>
      <x:c r="O96" s="1" t="s">
        <x:v>403</x:v>
      </x:c>
      <x:c r="P96" s="1" t="s">
        <x:v>265</x:v>
      </x:c>
    </x:row>
    <x:row r="97" ht="42" customHeight="1">
      <x:c r="A97" s="1" t="s">
        <x:v>448</x:v>
      </x:c>
      <x:c r="B97" s="1" t="s">
        <x:v>449</x:v>
      </x:c>
      <x:c r="C97" s="1"/>
      <x:c r="D97" s="1" t="s">
        <x:v>450</x:v>
      </x:c>
      <x:c r="E97" s="1" t="s">
        <x:v>88</x:v>
      </x:c>
      <x:c r="F97" s="1" t="s">
        <x:v>273</x:v>
      </x:c>
      <x:c r="G97" s="1"/>
      <x:c r="H97" s="1"/>
      <x:c r="I97" s="1"/>
      <x:c r="J97" s="1"/>
      <x:c r="K97" s="1" t="s">
        <x:v>213</x:v>
      </x:c>
      <x:c r="L97" s="1" t="s">
        <x:v>214</x:v>
      </x:c>
      <x:c r="M97" s="1" t="s">
        <x:v>213</x:v>
      </x:c>
      <x:c r="N97" s="1" t="s">
        <x:v>263</x:v>
      </x:c>
      <x:c r="O97" s="1" t="s">
        <x:v>356</x:v>
      </x:c>
      <x:c r="P97" s="1" t="s">
        <x:v>265</x:v>
      </x:c>
    </x:row>
    <x:row r="98" ht="42" customHeight="1">
      <x:c r="A98" s="1" t="s">
        <x:v>451</x:v>
      </x:c>
      <x:c r="B98" s="1" t="s">
        <x:v>452</x:v>
      </x:c>
      <x:c r="C98" s="1"/>
      <x:c r="D98" s="1"/>
      <x:c r="E98" s="1" t="s">
        <x:v>88</x:v>
      </x:c>
      <x:c r="F98" s="1" t="s">
        <x:v>273</x:v>
      </x:c>
      <x:c r="G98" s="1"/>
      <x:c r="H98" s="1"/>
      <x:c r="I98" s="1"/>
      <x:c r="J98" s="1"/>
      <x:c r="K98" s="1" t="s">
        <x:v>213</x:v>
      </x:c>
      <x:c r="L98" s="1" t="s">
        <x:v>214</x:v>
      </x:c>
      <x:c r="M98" s="1" t="s">
        <x:v>213</x:v>
      </x:c>
      <x:c r="N98" s="1" t="s">
        <x:v>263</x:v>
      </x:c>
      <x:c r="O98" s="1" t="s">
        <x:v>403</x:v>
      </x:c>
      <x:c r="P98" s="1" t="s">
        <x:v>265</x:v>
      </x:c>
    </x:row>
    <x:row r="99" ht="42" customHeight="1">
      <x:c r="A99" s="1" t="s">
        <x:v>453</x:v>
      </x:c>
      <x:c r="B99" s="1" t="s">
        <x:v>454</x:v>
      </x:c>
      <x:c r="C99" s="1"/>
      <x:c r="D99" s="1"/>
      <x:c r="E99" s="1" t="s">
        <x:v>88</x:v>
      </x:c>
      <x:c r="F99" s="1" t="s">
        <x:v>273</x:v>
      </x:c>
      <x:c r="G99" s="1"/>
      <x:c r="H99" s="1"/>
      <x:c r="I99" s="1"/>
      <x:c r="J99" s="1"/>
      <x:c r="K99" s="1" t="s">
        <x:v>213</x:v>
      </x:c>
      <x:c r="L99" s="1" t="s">
        <x:v>214</x:v>
      </x:c>
      <x:c r="M99" s="1" t="s">
        <x:v>213</x:v>
      </x:c>
      <x:c r="N99" s="1" t="s">
        <x:v>263</x:v>
      </x:c>
      <x:c r="O99" s="1" t="s">
        <x:v>403</x:v>
      </x:c>
      <x:c r="P99" s="1" t="s">
        <x:v>265</x:v>
      </x:c>
    </x:row>
    <x:row r="100" ht="42" customHeight="1">
      <x:c r="A100" s="1" t="s">
        <x:v>455</x:v>
      </x:c>
      <x:c r="B100" s="1" t="s">
        <x:v>456</x:v>
      </x:c>
      <x:c r="C100" s="1"/>
      <x:c r="D100" s="1" t="s">
        <x:v>457</x:v>
      </x:c>
      <x:c r="E100" s="1" t="s">
        <x:v>88</x:v>
      </x:c>
      <x:c r="F100" s="1" t="s">
        <x:v>273</x:v>
      </x:c>
      <x:c r="G100" s="1"/>
      <x:c r="H100" s="1"/>
      <x:c r="I100" s="1"/>
      <x:c r="J100" s="1"/>
      <x:c r="K100" s="1" t="s">
        <x:v>213</x:v>
      </x:c>
      <x:c r="L100" s="1" t="s">
        <x:v>214</x:v>
      </x:c>
      <x:c r="M100" s="1" t="s">
        <x:v>213</x:v>
      </x:c>
      <x:c r="N100" s="1" t="s">
        <x:v>263</x:v>
      </x:c>
      <x:c r="O100" s="1" t="s">
        <x:v>356</x:v>
      </x:c>
      <x:c r="P100" s="1" t="s">
        <x:v>265</x:v>
      </x:c>
    </x:row>
    <x:row r="101" ht="42" customHeight="1">
      <x:c r="A101" s="1" t="s">
        <x:v>458</x:v>
      </x:c>
      <x:c r="B101" s="1" t="s">
        <x:v>459</x:v>
      </x:c>
      <x:c r="C101" s="1"/>
      <x:c r="D101" s="1" t="s">
        <x:v>460</x:v>
      </x:c>
      <x:c r="E101" s="1" t="s">
        <x:v>88</x:v>
      </x:c>
      <x:c r="F101" s="1" t="s">
        <x:v>273</x:v>
      </x:c>
      <x:c r="G101" s="1"/>
      <x:c r="H101" s="1"/>
      <x:c r="I101" s="1"/>
      <x:c r="J101" s="1"/>
      <x:c r="K101" s="1" t="s">
        <x:v>213</x:v>
      </x:c>
      <x:c r="L101" s="1" t="s">
        <x:v>214</x:v>
      </x:c>
      <x:c r="M101" s="1" t="s">
        <x:v>213</x:v>
      </x:c>
      <x:c r="N101" s="1" t="s">
        <x:v>263</x:v>
      </x:c>
      <x:c r="O101" s="1" t="s">
        <x:v>356</x:v>
      </x:c>
      <x:c r="P101" s="1" t="s">
        <x:v>265</x:v>
      </x:c>
    </x:row>
    <x:row r="102" ht="42" customHeight="1">
      <x:c r="A102" s="1" t="s">
        <x:v>461</x:v>
      </x:c>
      <x:c r="B102" s="1" t="s">
        <x:v>462</x:v>
      </x:c>
      <x:c r="C102" s="1"/>
      <x:c r="D102" s="1"/>
      <x:c r="E102" s="1" t="s">
        <x:v>88</x:v>
      </x:c>
      <x:c r="F102" s="1" t="s">
        <x:v>273</x:v>
      </x:c>
      <x:c r="G102" s="1"/>
      <x:c r="H102" s="1"/>
      <x:c r="I102" s="1"/>
      <x:c r="J102" s="1"/>
      <x:c r="K102" s="1" t="s">
        <x:v>213</x:v>
      </x:c>
      <x:c r="L102" s="1" t="s">
        <x:v>214</x:v>
      </x:c>
      <x:c r="M102" s="1" t="s">
        <x:v>213</x:v>
      </x:c>
      <x:c r="N102" s="1" t="s">
        <x:v>263</x:v>
      </x:c>
      <x:c r="O102" s="1" t="s">
        <x:v>403</x:v>
      </x:c>
      <x:c r="P102" s="1" t="s">
        <x:v>265</x:v>
      </x:c>
    </x:row>
    <x:row r="103" ht="42" customHeight="1">
      <x:c r="A103" s="1" t="s">
        <x:v>463</x:v>
      </x:c>
      <x:c r="B103" s="1" t="s">
        <x:v>464</x:v>
      </x:c>
      <x:c r="C103" s="1"/>
      <x:c r="D103" s="1"/>
      <x:c r="E103" s="1" t="s">
        <x:v>88</x:v>
      </x:c>
      <x:c r="F103" s="1" t="s">
        <x:v>273</x:v>
      </x:c>
      <x:c r="G103" s="1"/>
      <x:c r="H103" s="1"/>
      <x:c r="I103" s="1"/>
      <x:c r="J103" s="1"/>
      <x:c r="K103" s="1" t="s">
        <x:v>213</x:v>
      </x:c>
      <x:c r="L103" s="1" t="s">
        <x:v>214</x:v>
      </x:c>
      <x:c r="M103" s="1" t="s">
        <x:v>213</x:v>
      </x:c>
      <x:c r="N103" s="1" t="s">
        <x:v>263</x:v>
      </x:c>
      <x:c r="O103" s="1" t="s">
        <x:v>403</x:v>
      </x:c>
      <x:c r="P103" s="1" t="s">
        <x:v>265</x:v>
      </x:c>
    </x:row>
    <x:row r="104" ht="42" customHeight="1">
      <x:c r="A104" s="1" t="s">
        <x:v>465</x:v>
      </x:c>
      <x:c r="B104" s="1" t="s">
        <x:v>466</x:v>
      </x:c>
      <x:c r="C104" s="1"/>
      <x:c r="D104" s="1"/>
      <x:c r="E104" s="1" t="s">
        <x:v>88</x:v>
      </x:c>
      <x:c r="F104" s="1" t="s">
        <x:v>273</x:v>
      </x:c>
      <x:c r="G104" s="1"/>
      <x:c r="H104" s="1"/>
      <x:c r="I104" s="1"/>
      <x:c r="J104" s="1"/>
      <x:c r="K104" s="1" t="s">
        <x:v>213</x:v>
      </x:c>
      <x:c r="L104" s="1" t="s">
        <x:v>214</x:v>
      </x:c>
      <x:c r="M104" s="1" t="s">
        <x:v>213</x:v>
      </x:c>
      <x:c r="N104" s="1" t="s">
        <x:v>263</x:v>
      </x:c>
      <x:c r="O104" s="1" t="s">
        <x:v>403</x:v>
      </x:c>
      <x:c r="P104" s="1" t="s">
        <x:v>265</x:v>
      </x:c>
    </x:row>
    <x:row r="105" ht="42" customHeight="1">
      <x:c r="A105" s="1" t="s">
        <x:v>467</x:v>
      </x:c>
      <x:c r="B105" s="1" t="s">
        <x:v>468</x:v>
      </x:c>
      <x:c r="C105" s="1"/>
      <x:c r="D105" s="1"/>
      <x:c r="E105" s="1" t="s">
        <x:v>88</x:v>
      </x:c>
      <x:c r="F105" s="1" t="s">
        <x:v>273</x:v>
      </x:c>
      <x:c r="G105" s="1"/>
      <x:c r="H105" s="1"/>
      <x:c r="I105" s="1"/>
      <x:c r="J105" s="1"/>
      <x:c r="K105" s="1" t="s">
        <x:v>213</x:v>
      </x:c>
      <x:c r="L105" s="1" t="s">
        <x:v>214</x:v>
      </x:c>
      <x:c r="M105" s="1" t="s">
        <x:v>213</x:v>
      </x:c>
      <x:c r="N105" s="1" t="s">
        <x:v>263</x:v>
      </x:c>
      <x:c r="O105" s="1" t="s">
        <x:v>403</x:v>
      </x:c>
      <x:c r="P105" s="1" t="s">
        <x:v>265</x:v>
      </x:c>
    </x:row>
    <x:row r="106" ht="42" customHeight="1">
      <x:c r="A106" s="1" t="s">
        <x:v>469</x:v>
      </x:c>
      <x:c r="B106" s="1" t="s">
        <x:v>470</x:v>
      </x:c>
      <x:c r="C106" s="1"/>
      <x:c r="D106" s="1" t="s">
        <x:v>471</x:v>
      </x:c>
      <x:c r="E106" s="1" t="s">
        <x:v>88</x:v>
      </x:c>
      <x:c r="F106" s="1" t="s">
        <x:v>273</x:v>
      </x:c>
      <x:c r="G106" s="1"/>
      <x:c r="H106" s="1"/>
      <x:c r="I106" s="1"/>
      <x:c r="J106" s="1"/>
      <x:c r="K106" s="1" t="s">
        <x:v>213</x:v>
      </x:c>
      <x:c r="L106" s="1" t="s">
        <x:v>214</x:v>
      </x:c>
      <x:c r="M106" s="1" t="s">
        <x:v>213</x:v>
      </x:c>
      <x:c r="N106" s="1" t="s">
        <x:v>263</x:v>
      </x:c>
      <x:c r="O106" s="1" t="s">
        <x:v>356</x:v>
      </x:c>
      <x:c r="P106" s="1" t="s">
        <x:v>265</x:v>
      </x:c>
    </x:row>
    <x:row r="107" ht="42" customHeight="1">
      <x:c r="A107" s="1" t="s">
        <x:v>472</x:v>
      </x:c>
      <x:c r="B107" s="1" t="s">
        <x:v>473</x:v>
      </x:c>
      <x:c r="C107" s="1"/>
      <x:c r="D107" s="1" t="s">
        <x:v>474</x:v>
      </x:c>
      <x:c r="E107" s="1" t="s">
        <x:v>88</x:v>
      </x:c>
      <x:c r="F107" s="1" t="s">
        <x:v>273</x:v>
      </x:c>
      <x:c r="G107" s="1"/>
      <x:c r="H107" s="1"/>
      <x:c r="I107" s="1"/>
      <x:c r="J107" s="1"/>
      <x:c r="K107" s="1" t="s">
        <x:v>213</x:v>
      </x:c>
      <x:c r="L107" s="1" t="s">
        <x:v>214</x:v>
      </x:c>
      <x:c r="M107" s="1" t="s">
        <x:v>213</x:v>
      </x:c>
      <x:c r="N107" s="1" t="s">
        <x:v>279</x:v>
      </x:c>
      <x:c r="O107" s="1" t="s">
        <x:v>363</x:v>
      </x:c>
      <x:c r="P107" s="1" t="s">
        <x:v>265</x:v>
      </x:c>
    </x:row>
    <x:row r="108" ht="42" customHeight="1">
      <x:c r="A108" s="1" t="s">
        <x:v>475</x:v>
      </x:c>
      <x:c r="B108" s="1" t="s">
        <x:v>476</x:v>
      </x:c>
      <x:c r="C108" s="1"/>
      <x:c r="D108" s="1"/>
      <x:c r="E108" s="1" t="s">
        <x:v>88</x:v>
      </x:c>
      <x:c r="F108" s="1" t="s">
        <x:v>273</x:v>
      </x:c>
      <x:c r="G108" s="1"/>
      <x:c r="H108" s="1"/>
      <x:c r="I108" s="1"/>
      <x:c r="J108" s="1"/>
      <x:c r="K108" s="1" t="s">
        <x:v>213</x:v>
      </x:c>
      <x:c r="L108" s="1" t="s">
        <x:v>214</x:v>
      </x:c>
      <x:c r="M108" s="1" t="s">
        <x:v>213</x:v>
      </x:c>
      <x:c r="N108" s="1" t="s">
        <x:v>263</x:v>
      </x:c>
      <x:c r="O108" s="1" t="s">
        <x:v>403</x:v>
      </x:c>
      <x:c r="P108" s="1" t="s">
        <x:v>265</x:v>
      </x:c>
    </x:row>
    <x:row r="109" ht="42" customHeight="1">
      <x:c r="A109" s="1" t="s">
        <x:v>477</x:v>
      </x:c>
      <x:c r="B109" s="1" t="s">
        <x:v>478</x:v>
      </x:c>
      <x:c r="C109" s="1"/>
      <x:c r="D109" s="1" t="s">
        <x:v>479</x:v>
      </x:c>
      <x:c r="E109" s="1" t="s">
        <x:v>88</x:v>
      </x:c>
      <x:c r="F109" s="1" t="s">
        <x:v>273</x:v>
      </x:c>
      <x:c r="G109" s="1"/>
      <x:c r="H109" s="1"/>
      <x:c r="I109" s="1"/>
      <x:c r="J109" s="1"/>
      <x:c r="K109" s="1" t="s">
        <x:v>213</x:v>
      </x:c>
      <x:c r="L109" s="1" t="s">
        <x:v>214</x:v>
      </x:c>
      <x:c r="M109" s="1" t="s">
        <x:v>213</x:v>
      </x:c>
      <x:c r="N109" s="1" t="s">
        <x:v>263</x:v>
      </x:c>
      <x:c r="O109" s="1" t="s">
        <x:v>356</x:v>
      </x:c>
      <x:c r="P109" s="1" t="s">
        <x:v>265</x:v>
      </x:c>
    </x:row>
    <x:row r="110" ht="42" customHeight="1">
      <x:c r="A110" s="1" t="s">
        <x:v>480</x:v>
      </x:c>
      <x:c r="B110" s="1" t="s">
        <x:v>481</x:v>
      </x:c>
      <x:c r="C110" s="1"/>
      <x:c r="D110" s="1"/>
      <x:c r="E110" s="1" t="s">
        <x:v>88</x:v>
      </x:c>
      <x:c r="F110" s="1" t="s">
        <x:v>273</x:v>
      </x:c>
      <x:c r="G110" s="1"/>
      <x:c r="H110" s="1"/>
      <x:c r="I110" s="1"/>
      <x:c r="J110" s="1"/>
      <x:c r="K110" s="1" t="s">
        <x:v>213</x:v>
      </x:c>
      <x:c r="L110" s="1" t="s">
        <x:v>214</x:v>
      </x:c>
      <x:c r="M110" s="1" t="s">
        <x:v>213</x:v>
      </x:c>
      <x:c r="N110" s="1" t="s">
        <x:v>263</x:v>
      </x:c>
      <x:c r="O110" s="1" t="s">
        <x:v>403</x:v>
      </x:c>
      <x:c r="P110" s="1" t="s">
        <x:v>265</x:v>
      </x:c>
    </x:row>
    <x:row r="111" ht="42" customHeight="1">
      <x:c r="A111" s="1" t="s">
        <x:v>482</x:v>
      </x:c>
      <x:c r="B111" s="1" t="s">
        <x:v>483</x:v>
      </x:c>
      <x:c r="C111" s="1"/>
      <x:c r="D111" s="1" t="s">
        <x:v>484</x:v>
      </x:c>
      <x:c r="E111" s="1" t="s">
        <x:v>88</x:v>
      </x:c>
      <x:c r="F111" s="1" t="s">
        <x:v>273</x:v>
      </x:c>
      <x:c r="G111" s="1"/>
      <x:c r="H111" s="1"/>
      <x:c r="I111" s="1"/>
      <x:c r="J111" s="1"/>
      <x:c r="K111" s="1" t="s">
        <x:v>213</x:v>
      </x:c>
      <x:c r="L111" s="1" t="s">
        <x:v>214</x:v>
      </x:c>
      <x:c r="M111" s="1" t="s">
        <x:v>213</x:v>
      </x:c>
      <x:c r="N111" s="1" t="s">
        <x:v>224</x:v>
      </x:c>
      <x:c r="O111" s="1" t="s">
        <x:v>394</x:v>
      </x:c>
      <x:c r="P111" s="1" t="s">
        <x:v>265</x:v>
      </x:c>
    </x:row>
    <x:row r="112" ht="42" customHeight="1">
      <x:c r="A112" s="1" t="s">
        <x:v>485</x:v>
      </x:c>
      <x:c r="B112" s="1" t="s">
        <x:v>486</x:v>
      </x:c>
      <x:c r="C112" s="1"/>
      <x:c r="D112" s="1"/>
      <x:c r="E112" s="1" t="s">
        <x:v>88</x:v>
      </x:c>
      <x:c r="F112" s="1" t="s">
        <x:v>273</x:v>
      </x:c>
      <x:c r="G112" s="1"/>
      <x:c r="H112" s="1"/>
      <x:c r="I112" s="1"/>
      <x:c r="J112" s="1"/>
      <x:c r="K112" s="1" t="s">
        <x:v>213</x:v>
      </x:c>
      <x:c r="L112" s="1" t="s">
        <x:v>214</x:v>
      </x:c>
      <x:c r="M112" s="1" t="s">
        <x:v>213</x:v>
      </x:c>
      <x:c r="N112" s="1" t="s">
        <x:v>263</x:v>
      </x:c>
      <x:c r="O112" s="1" t="s">
        <x:v>403</x:v>
      </x:c>
      <x:c r="P112" s="1" t="s">
        <x:v>265</x:v>
      </x:c>
    </x:row>
    <x:row r="113" ht="42" customHeight="1">
      <x:c r="A113" s="1" t="s">
        <x:v>487</x:v>
      </x:c>
      <x:c r="B113" s="1" t="s">
        <x:v>488</x:v>
      </x:c>
      <x:c r="C113" s="1"/>
      <x:c r="D113" s="1"/>
      <x:c r="E113" s="1" t="s">
        <x:v>88</x:v>
      </x:c>
      <x:c r="F113" s="1" t="s">
        <x:v>273</x:v>
      </x:c>
      <x:c r="G113" s="1"/>
      <x:c r="H113" s="1"/>
      <x:c r="I113" s="1"/>
      <x:c r="J113" s="1"/>
      <x:c r="K113" s="1" t="s">
        <x:v>213</x:v>
      </x:c>
      <x:c r="L113" s="1" t="s">
        <x:v>214</x:v>
      </x:c>
      <x:c r="M113" s="1" t="s">
        <x:v>213</x:v>
      </x:c>
      <x:c r="N113" s="1" t="s">
        <x:v>263</x:v>
      </x:c>
      <x:c r="O113" s="1" t="s">
        <x:v>403</x:v>
      </x:c>
      <x:c r="P113" s="1" t="s">
        <x:v>265</x:v>
      </x:c>
    </x:row>
    <x:row r="114" ht="42" customHeight="1">
      <x:c r="A114" s="1" t="s">
        <x:v>489</x:v>
      </x:c>
      <x:c r="B114" s="1" t="s">
        <x:v>490</x:v>
      </x:c>
      <x:c r="C114" s="1"/>
      <x:c r="D114" s="1" t="s">
        <x:v>491</x:v>
      </x:c>
      <x:c r="E114" s="1" t="s">
        <x:v>88</x:v>
      </x:c>
      <x:c r="F114" s="1" t="s">
        <x:v>273</x:v>
      </x:c>
      <x:c r="G114" s="1"/>
      <x:c r="H114" s="1"/>
      <x:c r="I114" s="1"/>
      <x:c r="J114" s="1"/>
      <x:c r="K114" s="1" t="s">
        <x:v>213</x:v>
      </x:c>
      <x:c r="L114" s="1" t="s">
        <x:v>214</x:v>
      </x:c>
      <x:c r="M114" s="1" t="s">
        <x:v>213</x:v>
      </x:c>
      <x:c r="N114" s="1" t="s">
        <x:v>224</x:v>
      </x:c>
      <x:c r="O114" s="1" t="s">
        <x:v>394</x:v>
      </x:c>
      <x:c r="P114" s="1" t="s">
        <x:v>265</x:v>
      </x:c>
    </x:row>
    <x:row r="115" ht="42" customHeight="1">
      <x:c r="A115" s="1" t="s">
        <x:v>492</x:v>
      </x:c>
      <x:c r="B115" s="1" t="s">
        <x:v>493</x:v>
      </x:c>
      <x:c r="C115" s="1"/>
      <x:c r="D115" s="1" t="s">
        <x:v>494</x:v>
      </x:c>
      <x:c r="E115" s="1" t="s">
        <x:v>88</x:v>
      </x:c>
      <x:c r="F115" s="1" t="s">
        <x:v>273</x:v>
      </x:c>
      <x:c r="G115" s="1"/>
      <x:c r="H115" s="1"/>
      <x:c r="I115" s="1"/>
      <x:c r="J115" s="1"/>
      <x:c r="K115" s="1" t="s">
        <x:v>213</x:v>
      </x:c>
      <x:c r="L115" s="1" t="s">
        <x:v>214</x:v>
      </x:c>
      <x:c r="M115" s="1" t="s">
        <x:v>213</x:v>
      </x:c>
      <x:c r="N115" s="1" t="s">
        <x:v>263</x:v>
      </x:c>
      <x:c r="O115" s="1" t="s">
        <x:v>356</x:v>
      </x:c>
      <x:c r="P115" s="1" t="s">
        <x:v>265</x:v>
      </x:c>
    </x:row>
    <x:row r="116" ht="42" customHeight="1">
      <x:c r="A116" s="1" t="s">
        <x:v>495</x:v>
      </x:c>
      <x:c r="B116" s="1" t="s">
        <x:v>496</x:v>
      </x:c>
      <x:c r="C116" s="1"/>
      <x:c r="D116" s="1"/>
      <x:c r="E116" s="1" t="s">
        <x:v>88</x:v>
      </x:c>
      <x:c r="F116" s="1" t="s">
        <x:v>273</x:v>
      </x:c>
      <x:c r="G116" s="1"/>
      <x:c r="H116" s="1"/>
      <x:c r="I116" s="1"/>
      <x:c r="J116" s="1"/>
      <x:c r="K116" s="1" t="s">
        <x:v>213</x:v>
      </x:c>
      <x:c r="L116" s="1" t="s">
        <x:v>214</x:v>
      </x:c>
      <x:c r="M116" s="1" t="s">
        <x:v>213</x:v>
      </x:c>
      <x:c r="N116" s="1" t="s">
        <x:v>263</x:v>
      </x:c>
      <x:c r="O116" s="1" t="s">
        <x:v>403</x:v>
      </x:c>
      <x:c r="P116" s="1" t="s">
        <x:v>265</x:v>
      </x:c>
    </x:row>
    <x:row r="117" ht="42" customHeight="1">
      <x:c r="A117" s="1" t="s">
        <x:v>497</x:v>
      </x:c>
      <x:c r="B117" s="1" t="s">
        <x:v>498</x:v>
      </x:c>
      <x:c r="C117" s="1"/>
      <x:c r="D117" s="1"/>
      <x:c r="E117" s="1" t="s">
        <x:v>88</x:v>
      </x:c>
      <x:c r="F117" s="1" t="s">
        <x:v>273</x:v>
      </x:c>
      <x:c r="G117" s="1"/>
      <x:c r="H117" s="1"/>
      <x:c r="I117" s="1"/>
      <x:c r="J117" s="1"/>
      <x:c r="K117" s="1" t="s">
        <x:v>213</x:v>
      </x:c>
      <x:c r="L117" s="1" t="s">
        <x:v>214</x:v>
      </x:c>
      <x:c r="M117" s="1" t="s">
        <x:v>213</x:v>
      </x:c>
      <x:c r="N117" s="1" t="s">
        <x:v>263</x:v>
      </x:c>
      <x:c r="O117" s="1" t="s">
        <x:v>403</x:v>
      </x:c>
      <x:c r="P117" s="1" t="s">
        <x:v>265</x:v>
      </x:c>
    </x:row>
    <x:row r="118" ht="42" customHeight="1">
      <x:c r="A118" s="1" t="s">
        <x:v>499</x:v>
      </x:c>
      <x:c r="B118" s="1" t="s">
        <x:v>500</x:v>
      </x:c>
      <x:c r="C118" s="1"/>
      <x:c r="D118" s="1"/>
      <x:c r="E118" s="1" t="s">
        <x:v>88</x:v>
      </x:c>
      <x:c r="F118" s="1" t="s">
        <x:v>273</x:v>
      </x:c>
      <x:c r="G118" s="1"/>
      <x:c r="H118" s="1"/>
      <x:c r="I118" s="1"/>
      <x:c r="J118" s="1"/>
      <x:c r="K118" s="1" t="s">
        <x:v>213</x:v>
      </x:c>
      <x:c r="L118" s="1" t="s">
        <x:v>214</x:v>
      </x:c>
      <x:c r="M118" s="1" t="s">
        <x:v>213</x:v>
      </x:c>
      <x:c r="N118" s="1" t="s">
        <x:v>263</x:v>
      </x:c>
      <x:c r="O118" s="1" t="s">
        <x:v>403</x:v>
      </x:c>
      <x:c r="P118" s="1" t="s">
        <x:v>265</x:v>
      </x:c>
    </x:row>
    <x:row r="119" ht="42" customHeight="1">
      <x:c r="A119" s="1" t="s">
        <x:v>501</x:v>
      </x:c>
      <x:c r="B119" s="1" t="s">
        <x:v>502</x:v>
      </x:c>
      <x:c r="C119" s="1"/>
      <x:c r="D119" s="1"/>
      <x:c r="E119" s="1" t="s">
        <x:v>88</x:v>
      </x:c>
      <x:c r="F119" s="1" t="s">
        <x:v>273</x:v>
      </x:c>
      <x:c r="G119" s="1"/>
      <x:c r="H119" s="1"/>
      <x:c r="I119" s="1"/>
      <x:c r="J119" s="1"/>
      <x:c r="K119" s="1" t="s">
        <x:v>213</x:v>
      </x:c>
      <x:c r="L119" s="1" t="s">
        <x:v>214</x:v>
      </x:c>
      <x:c r="M119" s="1" t="s">
        <x:v>213</x:v>
      </x:c>
      <x:c r="N119" s="1" t="s">
        <x:v>263</x:v>
      </x:c>
      <x:c r="O119" s="1" t="s">
        <x:v>403</x:v>
      </x:c>
      <x:c r="P119" s="1" t="s">
        <x:v>265</x:v>
      </x:c>
    </x:row>
    <x:row r="120" ht="42" customHeight="1">
      <x:c r="A120" s="1" t="s">
        <x:v>503</x:v>
      </x:c>
      <x:c r="B120" s="1" t="s">
        <x:v>504</x:v>
      </x:c>
      <x:c r="C120" s="1"/>
      <x:c r="D120" s="1"/>
      <x:c r="E120" s="1" t="s">
        <x:v>88</x:v>
      </x:c>
      <x:c r="F120" s="1" t="s">
        <x:v>273</x:v>
      </x:c>
      <x:c r="G120" s="1"/>
      <x:c r="H120" s="1"/>
      <x:c r="I120" s="1"/>
      <x:c r="J120" s="1"/>
      <x:c r="K120" s="1" t="s">
        <x:v>213</x:v>
      </x:c>
      <x:c r="L120" s="1" t="s">
        <x:v>214</x:v>
      </x:c>
      <x:c r="M120" s="1" t="s">
        <x:v>213</x:v>
      </x:c>
      <x:c r="N120" s="1" t="s">
        <x:v>263</x:v>
      </x:c>
      <x:c r="O120" s="1" t="s">
        <x:v>403</x:v>
      </x:c>
      <x:c r="P120" s="1" t="s">
        <x:v>265</x:v>
      </x:c>
    </x:row>
    <x:row r="121" ht="42" customHeight="1">
      <x:c r="A121" s="1" t="s">
        <x:v>505</x:v>
      </x:c>
      <x:c r="B121" s="1" t="s">
        <x:v>506</x:v>
      </x:c>
      <x:c r="C121" s="1"/>
      <x:c r="D121" s="1"/>
      <x:c r="E121" s="1" t="s">
        <x:v>88</x:v>
      </x:c>
      <x:c r="F121" s="1" t="s">
        <x:v>273</x:v>
      </x:c>
      <x:c r="G121" s="1"/>
      <x:c r="H121" s="1"/>
      <x:c r="I121" s="1"/>
      <x:c r="J121" s="1"/>
      <x:c r="K121" s="1" t="s">
        <x:v>213</x:v>
      </x:c>
      <x:c r="L121" s="1" t="s">
        <x:v>214</x:v>
      </x:c>
      <x:c r="M121" s="1" t="s">
        <x:v>213</x:v>
      </x:c>
      <x:c r="N121" s="1" t="s">
        <x:v>263</x:v>
      </x:c>
      <x:c r="O121" s="1" t="s">
        <x:v>403</x:v>
      </x:c>
      <x:c r="P121" s="1" t="s">
        <x:v>265</x:v>
      </x:c>
    </x:row>
    <x:row r="122" ht="42" customHeight="1">
      <x:c r="A122" s="1" t="s">
        <x:v>507</x:v>
      </x:c>
      <x:c r="B122" s="1" t="s">
        <x:v>508</x:v>
      </x:c>
      <x:c r="C122" s="1"/>
      <x:c r="D122" s="1"/>
      <x:c r="E122" s="1" t="s">
        <x:v>88</x:v>
      </x:c>
      <x:c r="F122" s="1" t="s">
        <x:v>273</x:v>
      </x:c>
      <x:c r="G122" s="1"/>
      <x:c r="H122" s="1"/>
      <x:c r="I122" s="1"/>
      <x:c r="J122" s="1"/>
      <x:c r="K122" s="1" t="s">
        <x:v>213</x:v>
      </x:c>
      <x:c r="L122" s="1" t="s">
        <x:v>214</x:v>
      </x:c>
      <x:c r="M122" s="1" t="s">
        <x:v>213</x:v>
      </x:c>
      <x:c r="N122" s="1" t="s">
        <x:v>263</x:v>
      </x:c>
      <x:c r="O122" s="1" t="s">
        <x:v>403</x:v>
      </x:c>
      <x:c r="P122" s="1" t="s">
        <x:v>265</x:v>
      </x:c>
    </x:row>
    <x:row r="123" ht="42" customHeight="1">
      <x:c r="A123" s="1" t="s">
        <x:v>509</x:v>
      </x:c>
      <x:c r="B123" s="1" t="s">
        <x:v>510</x:v>
      </x:c>
      <x:c r="C123" s="1"/>
      <x:c r="D123" s="1" t="s">
        <x:v>511</x:v>
      </x:c>
      <x:c r="E123" s="1" t="s">
        <x:v>88</x:v>
      </x:c>
      <x:c r="F123" s="1" t="s">
        <x:v>273</x:v>
      </x:c>
      <x:c r="G123" s="1"/>
      <x:c r="H123" s="1"/>
      <x:c r="I123" s="1"/>
      <x:c r="J123" s="1"/>
      <x:c r="K123" s="1" t="s">
        <x:v>213</x:v>
      </x:c>
      <x:c r="L123" s="1" t="s">
        <x:v>214</x:v>
      </x:c>
      <x:c r="M123" s="1" t="s">
        <x:v>213</x:v>
      </x:c>
      <x:c r="N123" s="1" t="s">
        <x:v>279</x:v>
      </x:c>
      <x:c r="O123" s="1" t="s">
        <x:v>363</x:v>
      </x:c>
      <x:c r="P123" s="1" t="s">
        <x:v>265</x:v>
      </x:c>
    </x:row>
    <x:row r="124" ht="42" customHeight="1">
      <x:c r="A124" s="1" t="s">
        <x:v>512</x:v>
      </x:c>
      <x:c r="B124" s="1" t="s">
        <x:v>513</x:v>
      </x:c>
      <x:c r="C124" s="1"/>
      <x:c r="D124" s="1"/>
      <x:c r="E124" s="1" t="s">
        <x:v>88</x:v>
      </x:c>
      <x:c r="F124" s="1" t="s">
        <x:v>273</x:v>
      </x:c>
      <x:c r="G124" s="1"/>
      <x:c r="H124" s="1"/>
      <x:c r="I124" s="1"/>
      <x:c r="J124" s="1"/>
      <x:c r="K124" s="1" t="s">
        <x:v>213</x:v>
      </x:c>
      <x:c r="L124" s="1" t="s">
        <x:v>214</x:v>
      </x:c>
      <x:c r="M124" s="1" t="s">
        <x:v>213</x:v>
      </x:c>
      <x:c r="N124" s="1" t="s">
        <x:v>263</x:v>
      </x:c>
      <x:c r="O124" s="1" t="s">
        <x:v>403</x:v>
      </x:c>
      <x:c r="P124" s="1" t="s">
        <x:v>265</x:v>
      </x:c>
    </x:row>
    <x:row r="125" ht="42" customHeight="1">
      <x:c r="A125" s="1" t="s">
        <x:v>514</x:v>
      </x:c>
      <x:c r="B125" s="1" t="s">
        <x:v>515</x:v>
      </x:c>
      <x:c r="C125" s="1"/>
      <x:c r="D125" s="1" t="s">
        <x:v>516</x:v>
      </x:c>
      <x:c r="E125" s="1" t="s">
        <x:v>92</x:v>
      </x:c>
      <x:c r="F125" s="1" t="s">
        <x:v>273</x:v>
      </x:c>
      <x:c r="G125" s="1"/>
      <x:c r="H125" s="1"/>
      <x:c r="I125" s="1"/>
      <x:c r="J125" s="1"/>
      <x:c r="K125" s="1" t="s">
        <x:v>213</x:v>
      </x:c>
      <x:c r="L125" s="1" t="s">
        <x:v>214</x:v>
      </x:c>
      <x:c r="M125" s="1" t="s">
        <x:v>213</x:v>
      </x:c>
      <x:c r="N125" s="1" t="s">
        <x:v>279</x:v>
      </x:c>
      <x:c r="O125" s="1" t="s">
        <x:v>363</x:v>
      </x:c>
      <x:c r="P125" s="1" t="s">
        <x:v>265</x:v>
      </x:c>
    </x:row>
    <x:row r="126" ht="42" customHeight="1">
      <x:c r="A126" s="1" t="s">
        <x:v>517</x:v>
      </x:c>
      <x:c r="B126" s="1" t="s">
        <x:v>518</x:v>
      </x:c>
      <x:c r="C126" s="1">
        <x:v>2026</x:v>
      </x:c>
      <x:c r="D126" s="1" t="s">
        <x:v>519</x:v>
      </x:c>
      <x:c r="E126" s="1" t="s">
        <x:v>105</x:v>
      </x:c>
      <x:c r="F126" s="1" t="s">
        <x:v>128</x:v>
      </x:c>
      <x:c r="G126" s="1" t="s">
        <x:v>129</x:v>
      </x:c>
      <x:c r="H126" s="1" t="s">
        <x:v>129</x:v>
      </x:c>
      <x:c r="I126" s="1" t="s">
        <x:v>129</x:v>
      </x:c>
      <x:c r="J126" s="1" t="s">
        <x:v>129</x:v>
      </x:c>
      <x:c r="K126" s="1" t="s">
        <x:v>130</x:v>
      </x:c>
      <x:c r="L126" s="1" t="s">
        <x:v>130</x:v>
      </x:c>
      <x:c r="M126" s="1" t="s">
        <x:v>130</x:v>
      </x:c>
      <x:c r="N126" s="1"/>
      <x:c r="O126" s="1" t="s">
        <x:v>520</x:v>
      </x:c>
      <x:c r="P126" s="1" t="s">
        <x:v>521</x:v>
      </x:c>
    </x:row>
    <x:row r="127" ht="42" customHeight="1">
      <x:c r="A127" s="1" t="s">
        <x:v>522</x:v>
      </x:c>
      <x:c r="B127" s="1" t="s">
        <x:v>523</x:v>
      </x:c>
      <x:c r="C127" s="1">
        <x:v>2027</x:v>
      </x:c>
      <x:c r="D127" s="1" t="s">
        <x:v>524</x:v>
      </x:c>
      <x:c r="E127" s="1" t="s">
        <x:v>101</x:v>
      </x:c>
      <x:c r="F127" s="1" t="s">
        <x:v>128</x:v>
      </x:c>
      <x:c r="G127" s="1" t="s">
        <x:v>129</x:v>
      </x:c>
      <x:c r="H127" s="1" t="s">
        <x:v>129</x:v>
      </x:c>
      <x:c r="I127" s="1" t="s">
        <x:v>129</x:v>
      </x:c>
      <x:c r="J127" s="1" t="s">
        <x:v>129</x:v>
      </x:c>
      <x:c r="K127" s="1" t="s">
        <x:v>130</x:v>
      </x:c>
      <x:c r="L127" s="1" t="s">
        <x:v>130</x:v>
      </x:c>
      <x:c r="M127" s="1" t="s">
        <x:v>130</x:v>
      </x:c>
      <x:c r="N127" s="1"/>
      <x:c r="O127" s="1" t="s">
        <x:v>520</x:v>
      </x:c>
      <x:c r="P127" s="1" t="s">
        <x:v>521</x:v>
      </x:c>
    </x:row>
    <x:row r="128" ht="42" customHeight="1">
      <x:c r="A128" s="1" t="s">
        <x:v>525</x:v>
      </x:c>
      <x:c r="B128" s="1" t="s">
        <x:v>526</x:v>
      </x:c>
      <x:c r="C128" s="1">
        <x:v>2026</x:v>
      </x:c>
      <x:c r="D128" s="1" t="s">
        <x:v>527</x:v>
      </x:c>
      <x:c r="E128" s="1" t="s">
        <x:v>101</x:v>
      </x:c>
      <x:c r="F128" s="1" t="s">
        <x:v>128</x:v>
      </x:c>
      <x:c r="G128" s="1" t="s">
        <x:v>129</x:v>
      </x:c>
      <x:c r="H128" s="1" t="s">
        <x:v>129</x:v>
      </x:c>
      <x:c r="I128" s="1" t="s">
        <x:v>129</x:v>
      </x:c>
      <x:c r="J128" s="1" t="s">
        <x:v>129</x:v>
      </x:c>
      <x:c r="K128" s="1" t="s">
        <x:v>130</x:v>
      </x:c>
      <x:c r="L128" s="1" t="s">
        <x:v>130</x:v>
      </x:c>
      <x:c r="M128" s="1" t="s">
        <x:v>130</x:v>
      </x:c>
      <x:c r="N128" s="1"/>
      <x:c r="O128" s="1" t="s">
        <x:v>520</x:v>
      </x:c>
      <x:c r="P128" s="1" t="s">
        <x:v>521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38" customWidth="1"/>
    <x:col min="2" max="4" width="18" customWidth="1"/>
    <x:col min="5" max="5" width="90" customWidth="1"/>
  </x:cols>
  <x:sheetData>
    <x:row r="1" ht="32.099998474121094" customHeight="1">
      <x:c r="A1" s="2" t="s">
        <x:v>528</x:v>
      </x:c>
      <x:c r="B1" s="2" t="s">
        <x:v>529</x:v>
      </x:c>
      <x:c r="C1" s="2" t="s">
        <x:v>530</x:v>
      </x:c>
      <x:c r="D1" s="2" t="s">
        <x:v>531</x:v>
      </x:c>
      <x:c r="E1" s="2" t="s">
        <x:v>532</x:v>
      </x:c>
    </x:row>
    <x:row r="2" ht="33.95000076293945" customHeight="1">
      <x:c r="A2" s="1" t="s">
        <x:v>533</x:v>
      </x:c>
      <x:c r="B2" s="1">
        <x:v>62</x:v>
      </x:c>
      <x:c r="C2" s="1" t="n">
        <x:f>SUM(Search_Strategy!$L$2:$L$6)+SUM(Search_Strategy!$L$17:$L$21)</x:f>
        <x:v>62</x:v>
      </x:c>
      <x:c r="D2" s="1" t="str">
        <x:f t="shared" ref="D2:D19" si="0">IF(B2=C2,"OK","Check")</x:f>
        <x:v>OK</x:v>
      </x:c>
      <x:c r="E2" s="1" t="s">
        <x:v>534</x:v>
      </x:c>
    </x:row>
    <x:row r="3" ht="33.95000076293945" customHeight="1">
      <x:c r="A3" s="1" t="s">
        <x:v>535</x:v>
      </x:c>
      <x:c r="B3" s="1">
        <x:v>22</x:v>
      </x:c>
      <x:c r="C3" s="1" t="n">
        <x:f>SUMIF(Search_Strategy!$A$2:$A$21,"PRIOR01",Search_Strategy!$L$2:$L$21)</x:f>
        <x:v>22</x:v>
      </x:c>
      <x:c r="D3" s="1" t="str">
        <x:f t="shared" si="0"/>
        <x:v>OK</x:v>
      </x:c>
      <x:c r="E3" s="1" t="s">
        <x:v>536</x:v>
      </x:c>
    </x:row>
    <x:row r="4" ht="33.95000076293945" customHeight="1">
      <x:c r="A4" s="1" t="s">
        <x:v>537</x:v>
      </x:c>
      <x:c r="B4" s="1">
        <x:v>154</x:v>
      </x:c>
      <x:c r="C4" s="1" t="n">
        <x:f>SUM(Search_Strategy!$L$8:$L$16)</x:f>
        <x:v>154</x:v>
      </x:c>
      <x:c r="D4" s="1" t="str">
        <x:f t="shared" si="0"/>
        <x:v>OK</x:v>
      </x:c>
      <x:c r="E4" s="1" t="s">
        <x:v>538</x:v>
      </x:c>
    </x:row>
    <x:row r="5" ht="33.95000076293945" customHeight="1">
      <x:c r="A5" s="1" t="s">
        <x:v>539</x:v>
      </x:c>
      <x:c r="B5" s="1">
        <x:v>238</x:v>
      </x:c>
      <x:c r="C5" s="1" t="n">
        <x:f>SUM(C2:C4)</x:f>
        <x:v>238</x:v>
      </x:c>
      <x:c r="D5" s="1" t="str">
        <x:f t="shared" si="0"/>
        <x:v>OK</x:v>
      </x:c>
      <x:c r="E5" s="1" t="s">
        <x:v>540</x:v>
      </x:c>
    </x:row>
    <x:row r="6" ht="33.95000076293945" customHeight="1">
      <x:c r="A6" s="1" t="s">
        <x:v>541</x:v>
      </x:c>
      <x:c r="B6" s="1">
        <x:v>111</x:v>
      </x:c>
      <x:c r="C6" s="1" t="n">
        <x:f>C5-C7</x:f>
        <x:v>111</x:v>
      </x:c>
      <x:c r="D6" s="1" t="str">
        <x:f t="shared" si="0"/>
        <x:v>OK</x:v>
      </x:c>
      <x:c r="E6" s="1" t="s">
        <x:v>542</x:v>
      </x:c>
    </x:row>
    <x:row r="7" ht="33.95000076293945" customHeight="1">
      <x:c r="A7" s="1" t="s">
        <x:v>543</x:v>
      </x:c>
      <x:c r="B7" s="1">
        <x:v>127</x:v>
      </x:c>
      <x:c r="C7" s="1" t="n">
        <x:f>COUNTA(Selection_Records!$A$2:$A$128)</x:f>
        <x:v>127</x:v>
      </x:c>
      <x:c r="D7" s="1" t="str">
        <x:f t="shared" si="0"/>
        <x:v>OK</x:v>
      </x:c>
      <x:c r="E7" s="1" t="s">
        <x:v>544</x:v>
      </x:c>
    </x:row>
    <x:row r="8" ht="33.95000076293945" customHeight="1">
      <x:c r="A8" s="1" t="s">
        <x:v>545</x:v>
      </x:c>
      <x:c r="B8" s="1">
        <x:v>88</x:v>
      </x:c>
      <x:c r="C8" s="1" t="n">
        <x:f>COUNTIF(Selection_Records!$F$2:$F$128,"Record-level screening")</x:f>
        <x:v>88</x:v>
      </x:c>
      <x:c r="D8" s="1" t="str">
        <x:f t="shared" si="0"/>
        <x:v>OK</x:v>
      </x:c>
      <x:c r="E8" s="1" t="s">
        <x:v>546</x:v>
      </x:c>
    </x:row>
    <x:row r="9" ht="33.95000076293945" customHeight="1">
      <x:c r="A9" s="1" t="s">
        <x:v>547</x:v>
      </x:c>
      <x:c r="B9" s="1">
        <x:v>39</x:v>
      </x:c>
      <x:c r="C9" s="1" t="n">
        <x:f>COUNTIF(Selection_Records!$F$2:$F$128,"Formal screening")</x:f>
        <x:v>39</x:v>
      </x:c>
      <x:c r="D9" s="1" t="str">
        <x:f t="shared" si="0"/>
        <x:v>OK</x:v>
      </x:c>
      <x:c r="E9" s="1" t="s">
        <x:v>548</x:v>
      </x:c>
    </x:row>
    <x:row r="10" ht="33.95000076293945" customHeight="1">
      <x:c r="A10" s="1" t="s">
        <x:v>549</x:v>
      </x:c>
      <x:c r="B10" s="1">
        <x:v>38</x:v>
      </x:c>
      <x:c r="C10" s="1" t="n">
        <x:f>COUNTIFS(Selection_Records!$F$2:$F$128,"Formal screening",Selection_Records!$L$2:$L$128,"&lt;&gt;Not applicable")</x:f>
        <x:v>38</x:v>
      </x:c>
      <x:c r="D10" s="1" t="str">
        <x:f t="shared" si="0"/>
        <x:v>OK</x:v>
      </x:c>
      <x:c r="E10" s="1" t="s">
        <x:v>550</x:v>
      </x:c>
    </x:row>
    <x:row r="11" ht="33.95000076293945" customHeight="1">
      <x:c r="A11" s="1" t="s">
        <x:v>551</x:v>
      </x:c>
      <x:c r="B11" s="1">
        <x:v>2</x:v>
      </x:c>
      <x:c r="C11" s="1" t="n">
        <x:f>COUNTIF(Selection_Records!$L$2:$L$128,"Not retrieved")+COUNTIF(Selection_Records!$L$2:$L$128,"Uncertain")</x:f>
        <x:v>2</x:v>
      </x:c>
      <x:c r="D11" s="1" t="str">
        <x:f t="shared" si="0"/>
        <x:v>OK</x:v>
      </x:c>
      <x:c r="E11" s="1" t="s">
        <x:v>552</x:v>
      </x:c>
    </x:row>
    <x:row r="12" ht="33.95000076293945" customHeight="1">
      <x:c r="A12" s="1" t="s">
        <x:v>553</x:v>
      </x:c>
      <x:c r="B12" s="1">
        <x:v>36</x:v>
      </x:c>
      <x:c r="C12" s="1" t="n">
        <x:f>C10-C11</x:f>
        <x:v>36</x:v>
      </x:c>
      <x:c r="D12" s="1" t="str">
        <x:f t="shared" si="0"/>
        <x:v>OK</x:v>
      </x:c>
      <x:c r="E12" s="1" t="s">
        <x:v>554</x:v>
      </x:c>
    </x:row>
    <x:row r="13" ht="33.95000076293945" customHeight="1">
      <x:c r="A13" s="1" t="s">
        <x:v>555</x:v>
      </x:c>
      <x:c r="B13" s="1">
        <x:v>4</x:v>
      </x:c>
      <x:c r="C13" s="1" t="n">
        <x:f>COUNTIF(Selection_Records!$L$2:$L$128,"Exclude")</x:f>
        <x:v>4</x:v>
      </x:c>
      <x:c r="D13" s="1" t="str">
        <x:f t="shared" si="0"/>
        <x:v>OK</x:v>
      </x:c>
      <x:c r="E13" s="1" t="s">
        <x:v>556</x:v>
      </x:c>
    </x:row>
    <x:row r="14" ht="33.95000076293945" customHeight="1">
      <x:c r="A14" s="1" t="s">
        <x:v>557</x:v>
      </x:c>
      <x:c r="B14" s="1">
        <x:v>32</x:v>
      </x:c>
      <x:c r="C14" s="1" t="n">
        <x:f>COUNTIF(Selection_Records!$M$2:$M$128,"Include")</x:f>
        <x:v>32</x:v>
      </x:c>
      <x:c r="D14" s="1" t="str">
        <x:f t="shared" si="0"/>
        <x:v>OK</x:v>
      </x:c>
      <x:c r="E14" s="1" t="s">
        <x:v>558</x:v>
      </x:c>
    </x:row>
    <x:row r="15" ht="33.95000076293945" customHeight="1">
      <x:c r="A15" s="1" t="s">
        <x:v>559</x:v>
      </x:c>
      <x:c r="B15" s="1">
        <x:v>32</x:v>
      </x:c>
      <x:c r="C15" s="1" t="n">
        <x:f>COUNTA(Included_Studies!$B$2:$B$33)</x:f>
        <x:v>32</x:v>
      </x:c>
      <x:c r="D15" s="1" t="str">
        <x:f t="shared" si="0"/>
        <x:v>OK</x:v>
      </x:c>
      <x:c r="E15" s="1" t="s">
        <x:v>560</x:v>
      </x:c>
    </x:row>
    <x:row r="16" ht="33.95000076293945" customHeight="1">
      <x:c r="A16" s="1" t="s">
        <x:v>561</x:v>
      </x:c>
      <x:c r="B16" s="1">
        <x:v>30</x:v>
      </x:c>
      <x:c r="C16" s="1">
        <x:v>30</x:v>
      </x:c>
      <x:c r="D16" s="1" t="str">
        <x:f t="shared" si="0"/>
        <x:v>OK</x:v>
      </x:c>
      <x:c r="E16" s="1" t="s">
        <x:v>562</x:v>
      </x:c>
    </x:row>
    <x:row r="17" ht="33.95000076293945" customHeight="1">
      <x:c r="A17" s="1" t="s">
        <x:v>563</x:v>
      </x:c>
      <x:c r="B17" s="1">
        <x:v>13</x:v>
      </x:c>
      <x:c r="C17" s="1" t="n">
        <x:f>COUNTIF(Included_Studies!$G$2:$G$33,"Adjudicator")</x:f>
        <x:v>13</x:v>
      </x:c>
      <x:c r="D17" s="1" t="str">
        <x:f t="shared" si="0"/>
        <x:v>OK</x:v>
      </x:c>
      <x:c r="E17" s="1" t="s">
        <x:v>564</x:v>
      </x:c>
    </x:row>
    <x:row r="18" ht="33.95000076293945" customHeight="1">
      <x:c r="A18" s="1" t="s">
        <x:v>565</x:v>
      </x:c>
      <x:c r="B18" s="1">
        <x:v>14</x:v>
      </x:c>
      <x:c r="C18" s="1" t="n">
        <x:f>COUNTIF(Included_Studies!$G$2:$G$33,"Constructor")</x:f>
        <x:v>14</x:v>
      </x:c>
      <x:c r="D18" s="1" t="str">
        <x:f t="shared" si="0"/>
        <x:v>OK</x:v>
      </x:c>
      <x:c r="E18" s="1" t="s">
        <x:v>566</x:v>
      </x:c>
    </x:row>
    <x:row r="19" ht="33.95000076293945" customHeight="1">
      <x:c r="A19" s="1" t="s">
        <x:v>567</x:v>
      </x:c>
      <x:c r="B19" s="1">
        <x:v>5</x:v>
      </x:c>
      <x:c r="C19" s="1" t="n">
        <x:f>COUNTIF(Included_Studies!$G$2:$G$33,"Orchestrator")</x:f>
        <x:v>5</x:v>
      </x:c>
      <x:c r="D19" s="1" t="str">
        <x:f t="shared" si="0"/>
        <x:v>OK</x:v>
      </x:c>
      <x:c r="E19" s="1" t="s">
        <x:v>568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8" customWidth="1"/>
    <x:col min="2" max="2" width="18" customWidth="1"/>
    <x:col min="3" max="3" width="24" customWidth="1"/>
    <x:col min="4" max="4" width="55" customWidth="1"/>
    <x:col min="5" max="5" width="36" customWidth="1"/>
    <x:col min="6" max="8" width="20" customWidth="1"/>
    <x:col min="9" max="9" width="30" customWidth="1"/>
    <x:col min="10" max="10" width="34" customWidth="1"/>
    <x:col min="11" max="11" width="30" customWidth="1"/>
    <x:col min="12" max="12" width="55" customWidth="1"/>
    <x:col min="13" max="13" width="65" customWidth="1"/>
    <x:col min="14" max="14" width="28" customWidth="1"/>
    <x:col min="15" max="15" width="22" customWidth="1"/>
  </x:cols>
  <x:sheetData>
    <x:row r="1" ht="32.099998474121094" customHeight="1">
      <x:c r="A1" s="2" t="s">
        <x:v>569</x:v>
      </x:c>
      <x:c r="B1" s="2" t="s">
        <x:v>570</x:v>
      </x:c>
      <x:c r="C1" s="2" t="s">
        <x:v>571</x:v>
      </x:c>
      <x:c r="D1" s="2" t="s">
        <x:v>111</x:v>
      </x:c>
      <x:c r="E1" s="2" t="s">
        <x:v>572</x:v>
      </x:c>
      <x:c r="F1" s="2" t="s">
        <x:v>573</x:v>
      </x:c>
      <x:c r="G1" s="2" t="s">
        <x:v>574</x:v>
      </x:c>
      <x:c r="H1" s="2" t="s">
        <x:v>575</x:v>
      </x:c>
      <x:c r="I1" s="2" t="s">
        <x:v>576</x:v>
      </x:c>
      <x:c r="J1" s="2" t="s">
        <x:v>577</x:v>
      </x:c>
      <x:c r="K1" s="2" t="s">
        <x:v>578</x:v>
      </x:c>
      <x:c r="L1" s="2" t="s">
        <x:v>579</x:v>
      </x:c>
      <x:c r="M1" s="2" t="s">
        <x:v>580</x:v>
      </x:c>
      <x:c r="N1" s="2" t="s">
        <x:v>581</x:v>
      </x:c>
      <x:c r="O1" s="2" t="s">
        <x:v>582</x:v>
      </x:c>
    </x:row>
    <x:row r="2" ht="54.95000076293945" customHeight="1">
      <x:c r="A2" s="1">
        <x:v>1</x:v>
      </x:c>
      <x:c r="B2" s="1" t="s">
        <x:v>583</x:v>
      </x:c>
      <x:c r="C2" s="1" t="s">
        <x:v>584</x:v>
      </x:c>
      <x:c r="D2" s="1" t="s">
        <x:v>585</x:v>
      </x:c>
      <x:c r="E2" s="1" t="s">
        <x:v>586</x:v>
      </x:c>
      <x:c r="F2" s="1" t="s">
        <x:v>587</x:v>
      </x:c>
      <x:c r="G2" s="1" t="s">
        <x:v>588</x:v>
      </x:c>
      <x:c r="H2" s="1"/>
      <x:c r="I2" s="1" t="s">
        <x:v>589</x:v>
      </x:c>
      <x:c r="J2" s="1" t="s">
        <x:v>590</x:v>
      </x:c>
      <x:c r="K2" s="1" t="s">
        <x:v>591</x:v>
      </x:c>
      <x:c r="L2" s="1" t="s">
        <x:v>592</x:v>
      </x:c>
      <x:c r="M2" s="1" t="s">
        <x:v>593</x:v>
      </x:c>
      <x:c r="N2" s="1" t="s">
        <x:v>594</x:v>
      </x:c>
      <x:c r="O2" s="1" t="s">
        <x:v>129</x:v>
      </x:c>
    </x:row>
    <x:row r="3" ht="54.95000076293945" customHeight="1">
      <x:c r="A3" s="1">
        <x:v>2</x:v>
      </x:c>
      <x:c r="B3" s="1" t="s">
        <x:v>595</x:v>
      </x:c>
      <x:c r="C3" s="1" t="s">
        <x:v>596</x:v>
      </x:c>
      <x:c r="D3" s="1" t="s">
        <x:v>135</x:v>
      </x:c>
      <x:c r="E3" s="1" t="s">
        <x:v>597</x:v>
      </x:c>
      <x:c r="F3" s="1" t="s">
        <x:v>598</x:v>
      </x:c>
      <x:c r="G3" s="1" t="s">
        <x:v>588</x:v>
      </x:c>
      <x:c r="H3" s="1"/>
      <x:c r="I3" s="1" t="s">
        <x:v>589</x:v>
      </x:c>
      <x:c r="J3" s="1" t="s">
        <x:v>590</x:v>
      </x:c>
      <x:c r="K3" s="1" t="s">
        <x:v>591</x:v>
      </x:c>
      <x:c r="L3" s="1" t="s">
        <x:v>599</x:v>
      </x:c>
      <x:c r="M3" s="1" t="s">
        <x:v>600</x:v>
      </x:c>
      <x:c r="N3" s="1" t="s">
        <x:v>601</x:v>
      </x:c>
      <x:c r="O3" s="1" t="s">
        <x:v>212</x:v>
      </x:c>
    </x:row>
    <x:row r="4" ht="54.95000076293945" customHeight="1">
      <x:c r="A4" s="1">
        <x:v>3</x:v>
      </x:c>
      <x:c r="B4" s="1" t="s">
        <x:v>602</x:v>
      </x:c>
      <x:c r="C4" s="1" t="s">
        <x:v>603</x:v>
      </x:c>
      <x:c r="D4" s="1" t="s">
        <x:v>604</x:v>
      </x:c>
      <x:c r="E4" s="1" t="s">
        <x:v>605</x:v>
      </x:c>
      <x:c r="F4" s="1" t="s">
        <x:v>606</x:v>
      </x:c>
      <x:c r="G4" s="1" t="s">
        <x:v>588</x:v>
      </x:c>
      <x:c r="H4" s="1"/>
      <x:c r="I4" s="1" t="s">
        <x:v>607</x:v>
      </x:c>
      <x:c r="J4" s="1" t="s">
        <x:v>608</x:v>
      </x:c>
      <x:c r="K4" s="1" t="s">
        <x:v>609</x:v>
      </x:c>
      <x:c r="L4" s="1" t="s">
        <x:v>610</x:v>
      </x:c>
      <x:c r="M4" s="1" t="s">
        <x:v>611</x:v>
      </x:c>
      <x:c r="N4" s="1" t="s">
        <x:v>612</x:v>
      </x:c>
      <x:c r="O4" s="1" t="s">
        <x:v>212</x:v>
      </x:c>
    </x:row>
    <x:row r="5" ht="54.95000076293945" customHeight="1">
      <x:c r="A5" s="1">
        <x:v>4</x:v>
      </x:c>
      <x:c r="B5" s="1" t="s">
        <x:v>613</x:v>
      </x:c>
      <x:c r="C5" s="1" t="s">
        <x:v>614</x:v>
      </x:c>
      <x:c r="D5" s="1" t="s">
        <x:v>615</x:v>
      </x:c>
      <x:c r="E5" s="1" t="s">
        <x:v>616</x:v>
      </x:c>
      <x:c r="F5" s="1" t="s">
        <x:v>617</x:v>
      </x:c>
      <x:c r="G5" s="1" t="s">
        <x:v>588</x:v>
      </x:c>
      <x:c r="H5" s="1"/>
      <x:c r="I5" s="1" t="s">
        <x:v>589</x:v>
      </x:c>
      <x:c r="J5" s="1" t="s">
        <x:v>590</x:v>
      </x:c>
      <x:c r="K5" s="1" t="s">
        <x:v>591</x:v>
      </x:c>
      <x:c r="L5" s="1" t="s">
        <x:v>592</x:v>
      </x:c>
      <x:c r="M5" s="1" t="s">
        <x:v>618</x:v>
      </x:c>
      <x:c r="N5" s="1" t="s">
        <x:v>619</x:v>
      </x:c>
      <x:c r="O5" s="1" t="s">
        <x:v>212</x:v>
      </x:c>
    </x:row>
    <x:row r="6" ht="54.95000076293945" customHeight="1">
      <x:c r="A6" s="1">
        <x:v>5</x:v>
      </x:c>
      <x:c r="B6" s="1" t="s">
        <x:v>620</x:v>
      </x:c>
      <x:c r="C6" s="1" t="s">
        <x:v>621</x:v>
      </x:c>
      <x:c r="D6" s="1" t="s">
        <x:v>622</x:v>
      </x:c>
      <x:c r="E6" s="1" t="s">
        <x:v>623</x:v>
      </x:c>
      <x:c r="F6" s="1" t="s">
        <x:v>624</x:v>
      </x:c>
      <x:c r="G6" s="1" t="s">
        <x:v>588</x:v>
      </x:c>
      <x:c r="H6" s="1"/>
      <x:c r="I6" s="1" t="s">
        <x:v>589</x:v>
      </x:c>
      <x:c r="J6" s="1" t="s">
        <x:v>625</x:v>
      </x:c>
      <x:c r="K6" s="1" t="s">
        <x:v>609</x:v>
      </x:c>
      <x:c r="L6" s="1" t="s">
        <x:v>626</x:v>
      </x:c>
      <x:c r="M6" s="1" t="s">
        <x:v>627</x:v>
      </x:c>
      <x:c r="N6" s="1" t="s">
        <x:v>628</x:v>
      </x:c>
      <x:c r="O6" s="1" t="s">
        <x:v>212</x:v>
      </x:c>
    </x:row>
    <x:row r="7" ht="54.95000076293945" customHeight="1">
      <x:c r="A7" s="1">
        <x:v>6</x:v>
      </x:c>
      <x:c r="B7" s="1" t="s">
        <x:v>629</x:v>
      </x:c>
      <x:c r="C7" s="1" t="s">
        <x:v>630</x:v>
      </x:c>
      <x:c r="D7" s="1" t="s">
        <x:v>150</x:v>
      </x:c>
      <x:c r="E7" s="1" t="s">
        <x:v>631</x:v>
      </x:c>
      <x:c r="F7" s="1" t="s">
        <x:v>632</x:v>
      </x:c>
      <x:c r="G7" s="1" t="s">
        <x:v>588</x:v>
      </x:c>
      <x:c r="H7" s="1"/>
      <x:c r="I7" s="1" t="s">
        <x:v>607</x:v>
      </x:c>
      <x:c r="J7" s="1" t="s">
        <x:v>608</x:v>
      </x:c>
      <x:c r="K7" s="1" t="s">
        <x:v>609</x:v>
      </x:c>
      <x:c r="L7" s="1" t="s">
        <x:v>633</x:v>
      </x:c>
      <x:c r="M7" s="1" t="s">
        <x:v>634</x:v>
      </x:c>
      <x:c r="N7" s="1" t="s">
        <x:v>635</x:v>
      </x:c>
      <x:c r="O7" s="1" t="s">
        <x:v>212</x:v>
      </x:c>
    </x:row>
    <x:row r="8" ht="54.95000076293945" customHeight="1">
      <x:c r="A8" s="1">
        <x:v>7</x:v>
      </x:c>
      <x:c r="B8" s="1" t="s">
        <x:v>636</x:v>
      </x:c>
      <x:c r="C8" s="1" t="s">
        <x:v>637</x:v>
      </x:c>
      <x:c r="D8" s="1" t="s">
        <x:v>153</x:v>
      </x:c>
      <x:c r="E8" s="1" t="s">
        <x:v>638</x:v>
      </x:c>
      <x:c r="F8" s="1" t="s">
        <x:v>639</x:v>
      </x:c>
      <x:c r="G8" s="1" t="s">
        <x:v>588</x:v>
      </x:c>
      <x:c r="H8" s="1" t="s">
        <x:v>640</x:v>
      </x:c>
      <x:c r="I8" s="1" t="s">
        <x:v>589</x:v>
      </x:c>
      <x:c r="J8" s="1" t="s">
        <x:v>590</x:v>
      </x:c>
      <x:c r="K8" s="1" t="s">
        <x:v>641</x:v>
      </x:c>
      <x:c r="L8" s="1" t="s">
        <x:v>642</x:v>
      </x:c>
      <x:c r="M8" s="1" t="s">
        <x:v>643</x:v>
      </x:c>
      <x:c r="N8" s="1" t="s">
        <x:v>644</x:v>
      </x:c>
      <x:c r="O8" s="1" t="s">
        <x:v>212</x:v>
      </x:c>
    </x:row>
    <x:row r="9" ht="54.95000076293945" customHeight="1">
      <x:c r="A9" s="1">
        <x:v>8</x:v>
      </x:c>
      <x:c r="B9" s="1" t="s">
        <x:v>645</x:v>
      </x:c>
      <x:c r="C9" s="1" t="s">
        <x:v>646</x:v>
      </x:c>
      <x:c r="D9" s="1" t="s">
        <x:v>156</x:v>
      </x:c>
      <x:c r="E9" s="1" t="s">
        <x:v>647</x:v>
      </x:c>
      <x:c r="F9" s="1" t="s">
        <x:v>648</x:v>
      </x:c>
      <x:c r="G9" s="1" t="s">
        <x:v>588</x:v>
      </x:c>
      <x:c r="H9" s="1"/>
      <x:c r="I9" s="1" t="s">
        <x:v>589</x:v>
      </x:c>
      <x:c r="J9" s="1" t="s">
        <x:v>590</x:v>
      </x:c>
      <x:c r="K9" s="1" t="s">
        <x:v>591</x:v>
      </x:c>
      <x:c r="L9" s="1" t="s">
        <x:v>642</x:v>
      </x:c>
      <x:c r="M9" s="1" t="s">
        <x:v>649</x:v>
      </x:c>
      <x:c r="N9" s="1" t="s">
        <x:v>650</x:v>
      </x:c>
      <x:c r="O9" s="1" t="s">
        <x:v>212</x:v>
      </x:c>
    </x:row>
    <x:row r="10" ht="54.95000076293945" customHeight="1">
      <x:c r="A10" s="1">
        <x:v>9</x:v>
      </x:c>
      <x:c r="B10" s="1" t="s">
        <x:v>651</x:v>
      </x:c>
      <x:c r="C10" s="1" t="s">
        <x:v>652</x:v>
      </x:c>
      <x:c r="D10" s="1" t="s">
        <x:v>653</x:v>
      </x:c>
      <x:c r="E10" s="1" t="s">
        <x:v>654</x:v>
      </x:c>
      <x:c r="F10" s="1" t="s">
        <x:v>655</x:v>
      </x:c>
      <x:c r="G10" s="1" t="s">
        <x:v>588</x:v>
      </x:c>
      <x:c r="H10" s="1"/>
      <x:c r="I10" s="1" t="s">
        <x:v>607</x:v>
      </x:c>
      <x:c r="J10" s="1" t="s">
        <x:v>590</x:v>
      </x:c>
      <x:c r="K10" s="1" t="s">
        <x:v>609</x:v>
      </x:c>
      <x:c r="L10" s="1" t="s">
        <x:v>656</x:v>
      </x:c>
      <x:c r="M10" s="1" t="s">
        <x:v>657</x:v>
      </x:c>
      <x:c r="N10" s="1" t="s">
        <x:v>658</x:v>
      </x:c>
      <x:c r="O10" s="1" t="s">
        <x:v>129</x:v>
      </x:c>
    </x:row>
    <x:row r="11" ht="54.95000076293945" customHeight="1">
      <x:c r="A11" s="1">
        <x:v>10</x:v>
      </x:c>
      <x:c r="B11" s="1" t="s">
        <x:v>659</x:v>
      </x:c>
      <x:c r="C11" s="1" t="s">
        <x:v>660</x:v>
      </x:c>
      <x:c r="D11" s="1" t="s">
        <x:v>661</x:v>
      </x:c>
      <x:c r="E11" s="1" t="s">
        <x:v>662</x:v>
      </x:c>
      <x:c r="F11" s="1" t="s">
        <x:v>663</x:v>
      </x:c>
      <x:c r="G11" s="1" t="s">
        <x:v>588</x:v>
      </x:c>
      <x:c r="H11" s="1" t="s">
        <x:v>640</x:v>
      </x:c>
      <x:c r="I11" s="1" t="s">
        <x:v>589</x:v>
      </x:c>
      <x:c r="J11" s="1" t="s">
        <x:v>590</x:v>
      </x:c>
      <x:c r="K11" s="1" t="s">
        <x:v>641</x:v>
      </x:c>
      <x:c r="L11" s="1" t="s">
        <x:v>664</x:v>
      </x:c>
      <x:c r="M11" s="1" t="s">
        <x:v>593</x:v>
      </x:c>
      <x:c r="N11" s="1" t="s">
        <x:v>665</x:v>
      </x:c>
      <x:c r="O11" s="1" t="s">
        <x:v>212</x:v>
      </x:c>
    </x:row>
    <x:row r="12" ht="54.95000076293945" customHeight="1">
      <x:c r="A12" s="1">
        <x:v>11</x:v>
      </x:c>
      <x:c r="B12" s="1" t="s">
        <x:v>666</x:v>
      </x:c>
      <x:c r="C12" s="1" t="s">
        <x:v>667</x:v>
      </x:c>
      <x:c r="D12" s="1" t="s">
        <x:v>668</x:v>
      </x:c>
      <x:c r="E12" s="1" t="s">
        <x:v>669</x:v>
      </x:c>
      <x:c r="F12" s="1" t="s">
        <x:v>655</x:v>
      </x:c>
      <x:c r="G12" s="1" t="s">
        <x:v>588</x:v>
      </x:c>
      <x:c r="H12" s="1"/>
      <x:c r="I12" s="1" t="s">
        <x:v>589</x:v>
      </x:c>
      <x:c r="J12" s="1" t="s">
        <x:v>670</x:v>
      </x:c>
      <x:c r="K12" s="1" t="s">
        <x:v>609</x:v>
      </x:c>
      <x:c r="L12" s="1" t="s">
        <x:v>671</x:v>
      </x:c>
      <x:c r="M12" s="1" t="s">
        <x:v>672</x:v>
      </x:c>
      <x:c r="N12" s="1" t="s">
        <x:v>673</x:v>
      </x:c>
      <x:c r="O12" s="1" t="s">
        <x:v>212</x:v>
      </x:c>
    </x:row>
    <x:row r="13" ht="54.95000076293945" customHeight="1">
      <x:c r="A13" s="1">
        <x:v>12</x:v>
      </x:c>
      <x:c r="B13" s="1" t="s">
        <x:v>674</x:v>
      </x:c>
      <x:c r="C13" s="1" t="s">
        <x:v>675</x:v>
      </x:c>
      <x:c r="D13" s="1" t="s">
        <x:v>676</x:v>
      </x:c>
      <x:c r="E13" s="1" t="s">
        <x:v>677</x:v>
      </x:c>
      <x:c r="F13" s="1" t="s">
        <x:v>678</x:v>
      </x:c>
      <x:c r="G13" s="1" t="s">
        <x:v>588</x:v>
      </x:c>
      <x:c r="H13" s="1" t="s">
        <x:v>640</x:v>
      </x:c>
      <x:c r="I13" s="1" t="s">
        <x:v>589</x:v>
      </x:c>
      <x:c r="J13" s="1" t="s">
        <x:v>625</x:v>
      </x:c>
      <x:c r="K13" s="1" t="s">
        <x:v>609</x:v>
      </x:c>
      <x:c r="L13" s="1" t="s">
        <x:v>592</x:v>
      </x:c>
      <x:c r="M13" s="1" t="s">
        <x:v>679</x:v>
      </x:c>
      <x:c r="N13" s="1" t="s">
        <x:v>680</x:v>
      </x:c>
      <x:c r="O13" s="1" t="s">
        <x:v>129</x:v>
      </x:c>
    </x:row>
    <x:row r="14" ht="54.95000076293945" customHeight="1">
      <x:c r="A14" s="1">
        <x:v>13</x:v>
      </x:c>
      <x:c r="B14" s="1" t="s">
        <x:v>681</x:v>
      </x:c>
      <x:c r="C14" s="1" t="s">
        <x:v>682</x:v>
      </x:c>
      <x:c r="D14" s="1" t="s">
        <x:v>683</x:v>
      </x:c>
      <x:c r="E14" s="1" t="s">
        <x:v>684</x:v>
      </x:c>
      <x:c r="F14" s="1" t="s">
        <x:v>685</x:v>
      </x:c>
      <x:c r="G14" s="1" t="s">
        <x:v>640</x:v>
      </x:c>
      <x:c r="H14" s="1"/>
      <x:c r="I14" s="1" t="s">
        <x:v>589</x:v>
      </x:c>
      <x:c r="J14" s="1" t="s">
        <x:v>590</x:v>
      </x:c>
      <x:c r="K14" s="1" t="s">
        <x:v>609</x:v>
      </x:c>
      <x:c r="L14" s="1" t="s">
        <x:v>592</x:v>
      </x:c>
      <x:c r="M14" s="1" t="s">
        <x:v>686</x:v>
      </x:c>
      <x:c r="N14" s="1" t="s">
        <x:v>687</x:v>
      </x:c>
      <x:c r="O14" s="1" t="s">
        <x:v>212</x:v>
      </x:c>
    </x:row>
    <x:row r="15" ht="54.95000076293945" customHeight="1">
      <x:c r="A15" s="1">
        <x:v>14</x:v>
      </x:c>
      <x:c r="B15" s="1" t="s">
        <x:v>688</x:v>
      </x:c>
      <x:c r="C15" s="1" t="s">
        <x:v>689</x:v>
      </x:c>
      <x:c r="D15" s="1" t="s">
        <x:v>690</x:v>
      </x:c>
      <x:c r="E15" s="1" t="s">
        <x:v>691</x:v>
      </x:c>
      <x:c r="F15" s="1" t="s">
        <x:v>692</x:v>
      </x:c>
      <x:c r="G15" s="1" t="s">
        <x:v>640</x:v>
      </x:c>
      <x:c r="H15" s="1" t="s">
        <x:v>588</x:v>
      </x:c>
      <x:c r="I15" s="1" t="s">
        <x:v>589</x:v>
      </x:c>
      <x:c r="J15" s="1" t="str">
        <x:v>Peer-reviewed publication</x:v>
      </x:c>
      <x:c r="K15" s="1" t="s">
        <x:v>641</x:v>
      </x:c>
      <x:c r="L15" s="1" t="s">
        <x:v>693</x:v>
      </x:c>
      <x:c r="M15" s="1" t="s">
        <x:v>593</x:v>
      </x:c>
      <x:c r="N15" s="1" t="s">
        <x:v>694</x:v>
      </x:c>
      <x:c r="O15" s="1" t="s">
        <x:v>129</x:v>
      </x:c>
    </x:row>
    <x:row r="16" ht="54.95000076293945" customHeight="1">
      <x:c r="A16" s="1">
        <x:v>15</x:v>
      </x:c>
      <x:c r="B16" s="1" t="s">
        <x:v>695</x:v>
      </x:c>
      <x:c r="C16" s="1" t="s">
        <x:v>696</x:v>
      </x:c>
      <x:c r="D16" s="1" t="s">
        <x:v>174</x:v>
      </x:c>
      <x:c r="E16" s="1" t="s">
        <x:v>697</x:v>
      </x:c>
      <x:c r="F16" s="1" t="s">
        <x:v>698</x:v>
      </x:c>
      <x:c r="G16" s="1" t="s">
        <x:v>640</x:v>
      </x:c>
      <x:c r="H16" s="1"/>
      <x:c r="I16" s="1" t="s">
        <x:v>589</x:v>
      </x:c>
      <x:c r="J16" s="1" t="s">
        <x:v>590</x:v>
      </x:c>
      <x:c r="K16" s="1" t="s">
        <x:v>591</x:v>
      </x:c>
      <x:c r="L16" s="1" t="s">
        <x:v>592</x:v>
      </x:c>
      <x:c r="M16" s="1" t="s">
        <x:v>686</x:v>
      </x:c>
      <x:c r="N16" s="1" t="s">
        <x:v>699</x:v>
      </x:c>
      <x:c r="O16" s="1" t="s">
        <x:v>212</x:v>
      </x:c>
    </x:row>
    <x:row r="17" ht="54.95000076293945" customHeight="1">
      <x:c r="A17" s="1">
        <x:v>16</x:v>
      </x:c>
      <x:c r="B17" s="1" t="s">
        <x:v>700</x:v>
      </x:c>
      <x:c r="C17" s="1" t="s">
        <x:v>701</x:v>
      </x:c>
      <x:c r="D17" s="1" t="s">
        <x:v>177</x:v>
      </x:c>
      <x:c r="E17" s="1" t="s">
        <x:v>702</x:v>
      </x:c>
      <x:c r="F17" s="1" t="s">
        <x:v>703</x:v>
      </x:c>
      <x:c r="G17" s="1" t="s">
        <x:v>640</x:v>
      </x:c>
      <x:c r="H17" s="1"/>
      <x:c r="I17" s="1" t="s">
        <x:v>589</x:v>
      </x:c>
      <x:c r="J17" s="1" t="s">
        <x:v>590</x:v>
      </x:c>
      <x:c r="K17" s="1" t="s">
        <x:v>591</x:v>
      </x:c>
      <x:c r="L17" s="1" t="s">
        <x:v>592</x:v>
      </x:c>
      <x:c r="M17" s="1" t="s">
        <x:v>704</x:v>
      </x:c>
      <x:c r="N17" s="1" t="s">
        <x:v>705</x:v>
      </x:c>
      <x:c r="O17" s="1" t="s">
        <x:v>212</x:v>
      </x:c>
    </x:row>
    <x:row r="18" ht="54.95000076293945" customHeight="1">
      <x:c r="A18" s="1">
        <x:v>17</x:v>
      </x:c>
      <x:c r="B18" s="1" t="s">
        <x:v>706</x:v>
      </x:c>
      <x:c r="C18" s="1" t="s">
        <x:v>707</x:v>
      </x:c>
      <x:c r="D18" s="1" t="s">
        <x:v>708</x:v>
      </x:c>
      <x:c r="E18" s="1" t="s">
        <x:v>709</x:v>
      </x:c>
      <x:c r="F18" s="1" t="s">
        <x:v>710</x:v>
      </x:c>
      <x:c r="G18" s="1" t="s">
        <x:v>640</x:v>
      </x:c>
      <x:c r="H18" s="1"/>
      <x:c r="I18" s="1" t="s">
        <x:v>589</x:v>
      </x:c>
      <x:c r="J18" s="1" t="s">
        <x:v>590</x:v>
      </x:c>
      <x:c r="K18" s="1" t="s">
        <x:v>609</x:v>
      </x:c>
      <x:c r="L18" s="1" t="s">
        <x:v>711</x:v>
      </x:c>
      <x:c r="M18" s="1" t="s">
        <x:v>712</x:v>
      </x:c>
      <x:c r="N18" s="1" t="s">
        <x:v>713</x:v>
      </x:c>
      <x:c r="O18" s="1" t="s">
        <x:v>129</x:v>
      </x:c>
    </x:row>
    <x:row r="19" ht="54.95000076293945" customHeight="1">
      <x:c r="A19" s="1">
        <x:v>18</x:v>
      </x:c>
      <x:c r="B19" s="1" t="s">
        <x:v>714</x:v>
      </x:c>
      <x:c r="C19" s="1" t="s">
        <x:v>715</x:v>
      </x:c>
      <x:c r="D19" s="1" t="s">
        <x:v>185</x:v>
      </x:c>
      <x:c r="E19" s="1" t="s">
        <x:v>716</x:v>
      </x:c>
      <x:c r="F19" s="1" t="s">
        <x:v>717</x:v>
      </x:c>
      <x:c r="G19" s="1" t="s">
        <x:v>640</x:v>
      </x:c>
      <x:c r="H19" s="1"/>
      <x:c r="I19" s="1" t="s">
        <x:v>589</x:v>
      </x:c>
      <x:c r="J19" s="1" t="s">
        <x:v>590</x:v>
      </x:c>
      <x:c r="K19" s="1" t="s">
        <x:v>591</x:v>
      </x:c>
      <x:c r="L19" s="1" t="s">
        <x:v>718</x:v>
      </x:c>
      <x:c r="M19" s="1" t="s">
        <x:v>719</x:v>
      </x:c>
      <x:c r="N19" s="1" t="s">
        <x:v>720</x:v>
      </x:c>
      <x:c r="O19" s="1" t="s">
        <x:v>212</x:v>
      </x:c>
    </x:row>
    <x:row r="20" ht="54.95000076293945" customHeight="1">
      <x:c r="A20" s="1">
        <x:v>19</x:v>
      </x:c>
      <x:c r="B20" s="1" t="s">
        <x:v>721</x:v>
      </x:c>
      <x:c r="C20" s="1" t="s">
        <x:v>722</x:v>
      </x:c>
      <x:c r="D20" s="1" t="s">
        <x:v>189</x:v>
      </x:c>
      <x:c r="E20" s="1" t="s">
        <x:v>723</x:v>
      </x:c>
      <x:c r="F20" s="1" t="s">
        <x:v>724</x:v>
      </x:c>
      <x:c r="G20" s="1" t="s">
        <x:v>640</x:v>
      </x:c>
      <x:c r="H20" s="1"/>
      <x:c r="I20" s="1" t="s">
        <x:v>589</x:v>
      </x:c>
      <x:c r="J20" s="1" t="s">
        <x:v>608</x:v>
      </x:c>
      <x:c r="K20" s="1" t="s">
        <x:v>609</x:v>
      </x:c>
      <x:c r="L20" s="1" t="s">
        <x:v>642</x:v>
      </x:c>
      <x:c r="M20" s="1" t="s">
        <x:v>686</x:v>
      </x:c>
      <x:c r="N20" s="1" t="s">
        <x:v>725</x:v>
      </x:c>
      <x:c r="O20" s="1" t="s">
        <x:v>212</x:v>
      </x:c>
    </x:row>
    <x:row r="21" ht="54.95000076293945" customHeight="1">
      <x:c r="A21" s="1">
        <x:v>20</x:v>
      </x:c>
      <x:c r="B21" s="1" t="s">
        <x:v>726</x:v>
      </x:c>
      <x:c r="C21" s="1" t="s">
        <x:v>727</x:v>
      </x:c>
      <x:c r="D21" s="1" t="s">
        <x:v>233</x:v>
      </x:c>
      <x:c r="E21" s="1" t="s">
        <x:v>728</x:v>
      </x:c>
      <x:c r="F21" s="1" t="s">
        <x:v>729</x:v>
      </x:c>
      <x:c r="G21" s="1" t="s">
        <x:v>640</x:v>
      </x:c>
      <x:c r="H21" s="1"/>
      <x:c r="I21" s="1" t="s">
        <x:v>589</x:v>
      </x:c>
      <x:c r="J21" s="1" t="s">
        <x:v>590</x:v>
      </x:c>
      <x:c r="K21" s="1" t="s">
        <x:v>609</x:v>
      </x:c>
      <x:c r="L21" s="1" t="s">
        <x:v>730</x:v>
      </x:c>
      <x:c r="M21" s="1" t="s">
        <x:v>731</x:v>
      </x:c>
      <x:c r="N21" s="1" t="s">
        <x:v>732</x:v>
      </x:c>
      <x:c r="O21" s="1" t="s">
        <x:v>212</x:v>
      </x:c>
    </x:row>
    <x:row r="22" ht="54.95000076293945" customHeight="1">
      <x:c r="A22" s="1">
        <x:v>21</x:v>
      </x:c>
      <x:c r="B22" s="1" t="s">
        <x:v>733</x:v>
      </x:c>
      <x:c r="C22" s="1" t="s">
        <x:v>734</x:v>
      </x:c>
      <x:c r="D22" s="1" t="s">
        <x:v>735</x:v>
      </x:c>
      <x:c r="E22" s="1" t="s">
        <x:v>736</x:v>
      </x:c>
      <x:c r="F22" s="1" t="s">
        <x:v>737</x:v>
      </x:c>
      <x:c r="G22" s="1" t="s">
        <x:v>640</x:v>
      </x:c>
      <x:c r="H22" s="1"/>
      <x:c r="I22" s="1" t="s">
        <x:v>589</x:v>
      </x:c>
      <x:c r="J22" s="1" t="s">
        <x:v>608</x:v>
      </x:c>
      <x:c r="K22" s="1" t="s">
        <x:v>609</x:v>
      </x:c>
      <x:c r="L22" s="1" t="s">
        <x:v>592</x:v>
      </x:c>
      <x:c r="M22" s="1" t="s">
        <x:v>738</x:v>
      </x:c>
      <x:c r="N22" s="1" t="s">
        <x:v>612</x:v>
      </x:c>
      <x:c r="O22" s="1" t="s">
        <x:v>212</x:v>
      </x:c>
    </x:row>
    <x:row r="23" ht="54.95000076293945" customHeight="1">
      <x:c r="A23" s="1">
        <x:v>22</x:v>
      </x:c>
      <x:c r="B23" s="1" t="s">
        <x:v>739</x:v>
      </x:c>
      <x:c r="C23" s="1" t="s">
        <x:v>740</x:v>
      </x:c>
      <x:c r="D23" s="1" t="str">
        <x:v>https://doi.org/10.1145/3744916.3773113</x:v>
      </x:c>
      <x:c r="E23" s="1" t="s">
        <x:v>741</x:v>
      </x:c>
      <x:c r="F23" s="1" t="s">
        <x:v>742</x:v>
      </x:c>
      <x:c r="G23" s="1" t="s">
        <x:v>640</x:v>
      </x:c>
      <x:c r="H23" s="1"/>
      <x:c r="I23" s="1" t="s">
        <x:v>589</x:v>
      </x:c>
      <x:c r="J23" s="1" t="str">
        <x:v>Peer-reviewed publication</x:v>
      </x:c>
      <x:c r="K23" s="1" t="s">
        <x:v>641</x:v>
      </x:c>
      <x:c r="L23" s="1" t="s">
        <x:v>730</x:v>
      </x:c>
      <x:c r="M23" s="1" t="s">
        <x:v>743</x:v>
      </x:c>
      <x:c r="N23" s="1" t="str">
        <x:v>ICSE 2026</x:v>
      </x:c>
      <x:c r="O23" s="1" t="s">
        <x:v>212</x:v>
      </x:c>
    </x:row>
    <x:row r="24" ht="54.95000076293945" customHeight="1">
      <x:c r="A24" s="1">
        <x:v>23</x:v>
      </x:c>
      <x:c r="B24" s="1" t="s">
        <x:v>744</x:v>
      </x:c>
      <x:c r="C24" s="1" t="s">
        <x:v>745</x:v>
      </x:c>
      <x:c r="D24" s="1" t="s">
        <x:v>746</x:v>
      </x:c>
      <x:c r="E24" s="1" t="s">
        <x:v>747</x:v>
      </x:c>
      <x:c r="F24" s="1" t="s">
        <x:v>748</x:v>
      </x:c>
      <x:c r="G24" s="1" t="s">
        <x:v>640</x:v>
      </x:c>
      <x:c r="H24" s="1"/>
      <x:c r="I24" s="1" t="s">
        <x:v>607</x:v>
      </x:c>
      <x:c r="J24" s="1" t="s">
        <x:v>608</x:v>
      </x:c>
      <x:c r="K24" s="1" t="s">
        <x:v>591</x:v>
      </x:c>
      <x:c r="L24" s="1" t="s">
        <x:v>592</x:v>
      </x:c>
      <x:c r="M24" s="1" t="s">
        <x:v>749</x:v>
      </x:c>
      <x:c r="N24" s="1" t="s">
        <x:v>612</x:v>
      </x:c>
      <x:c r="O24" s="1" t="s">
        <x:v>212</x:v>
      </x:c>
    </x:row>
    <x:row r="25" ht="54.95000076293945" customHeight="1">
      <x:c r="A25" s="1">
        <x:v>24</x:v>
      </x:c>
      <x:c r="B25" s="1" t="s">
        <x:v>750</x:v>
      </x:c>
      <x:c r="C25" s="1" t="s">
        <x:v>751</x:v>
      </x:c>
      <x:c r="D25" s="1" t="s">
        <x:v>752</x:v>
      </x:c>
      <x:c r="E25" s="1" t="s">
        <x:v>753</x:v>
      </x:c>
      <x:c r="F25" s="1" t="s">
        <x:v>754</x:v>
      </x:c>
      <x:c r="G25" s="1" t="s">
        <x:v>640</x:v>
      </x:c>
      <x:c r="H25" s="1"/>
      <x:c r="I25" s="1" t="s">
        <x:v>589</x:v>
      </x:c>
      <x:c r="J25" s="1" t="s">
        <x:v>608</x:v>
      </x:c>
      <x:c r="K25" s="1" t="s">
        <x:v>609</x:v>
      </x:c>
      <x:c r="L25" s="1" t="s">
        <x:v>671</x:v>
      </x:c>
      <x:c r="M25" s="1" t="s">
        <x:v>755</x:v>
      </x:c>
      <x:c r="N25" s="1" t="s">
        <x:v>756</x:v>
      </x:c>
      <x:c r="O25" s="1" t="s">
        <x:v>212</x:v>
      </x:c>
    </x:row>
    <x:row r="26" ht="54.95000076293945" customHeight="1">
      <x:c r="A26" s="1">
        <x:v>25</x:v>
      </x:c>
      <x:c r="B26" s="1" t="s">
        <x:v>757</x:v>
      </x:c>
      <x:c r="C26" s="1" t="s">
        <x:v>758</x:v>
      </x:c>
      <x:c r="D26" s="1" t="s">
        <x:v>759</x:v>
      </x:c>
      <x:c r="E26" s="1" t="s">
        <x:v>760</x:v>
      </x:c>
      <x:c r="F26" s="1" t="s">
        <x:v>761</x:v>
      </x:c>
      <x:c r="G26" s="1" t="s">
        <x:v>762</x:v>
      </x:c>
      <x:c r="H26" s="1"/>
      <x:c r="I26" s="1" t="s">
        <x:v>589</x:v>
      </x:c>
      <x:c r="J26" s="1" t="s">
        <x:v>590</x:v>
      </x:c>
      <x:c r="K26" s="1" t="s">
        <x:v>609</x:v>
      </x:c>
      <x:c r="L26" s="1" t="s">
        <x:v>763</x:v>
      </x:c>
      <x:c r="M26" s="1" t="s">
        <x:v>764</x:v>
      </x:c>
      <x:c r="N26" s="1" t="s">
        <x:v>765</x:v>
      </x:c>
      <x:c r="O26" s="1" t="s">
        <x:v>129</x:v>
      </x:c>
    </x:row>
    <x:row r="27" ht="54.95000076293945" customHeight="1">
      <x:c r="A27" s="1">
        <x:v>26</x:v>
      </x:c>
      <x:c r="B27" s="1" t="s">
        <x:v>766</x:v>
      </x:c>
      <x:c r="C27" s="1" t="s">
        <x:v>767</x:v>
      </x:c>
      <x:c r="D27" s="1" t="s">
        <x:v>768</x:v>
      </x:c>
      <x:c r="E27" s="1" t="s">
        <x:v>769</x:v>
      </x:c>
      <x:c r="F27" s="1" t="s">
        <x:v>770</x:v>
      </x:c>
      <x:c r="G27" s="1" t="s">
        <x:v>762</x:v>
      </x:c>
      <x:c r="H27" s="1"/>
      <x:c r="I27" s="1" t="s">
        <x:v>589</x:v>
      </x:c>
      <x:c r="J27" s="1" t="s">
        <x:v>608</x:v>
      </x:c>
      <x:c r="K27" s="1" t="s">
        <x:v>609</x:v>
      </x:c>
      <x:c r="L27" s="1" t="s">
        <x:v>693</x:v>
      </x:c>
      <x:c r="M27" s="1" t="s">
        <x:v>771</x:v>
      </x:c>
      <x:c r="N27" s="1" t="s">
        <x:v>612</x:v>
      </x:c>
      <x:c r="O27" s="1" t="s">
        <x:v>212</x:v>
      </x:c>
    </x:row>
    <x:row r="28" ht="54.95000076293945" customHeight="1">
      <x:c r="A28" s="1">
        <x:v>27</x:v>
      </x:c>
      <x:c r="B28" s="1" t="s">
        <x:v>772</x:v>
      </x:c>
      <x:c r="C28" s="1" t="s">
        <x:v>773</x:v>
      </x:c>
      <x:c r="D28" s="1" t="s">
        <x:v>774</x:v>
      </x:c>
      <x:c r="E28" s="1" t="s">
        <x:v>775</x:v>
      </x:c>
      <x:c r="F28" s="1" t="s">
        <x:v>655</x:v>
      </x:c>
      <x:c r="G28" s="1" t="s">
        <x:v>762</x:v>
      </x:c>
      <x:c r="H28" s="1"/>
      <x:c r="I28" s="1" t="s">
        <x:v>589</x:v>
      </x:c>
      <x:c r="J28" s="1" t="s">
        <x:v>590</x:v>
      </x:c>
      <x:c r="K28" s="1" t="s">
        <x:v>609</x:v>
      </x:c>
      <x:c r="L28" s="1" t="s">
        <x:v>610</x:v>
      </x:c>
      <x:c r="M28" s="1" t="s">
        <x:v>776</x:v>
      </x:c>
      <x:c r="N28" s="1" t="s">
        <x:v>777</x:v>
      </x:c>
      <x:c r="O28" s="1" t="s">
        <x:v>129</x:v>
      </x:c>
    </x:row>
    <x:row r="29" ht="54.95000076293945" customHeight="1">
      <x:c r="A29" s="1">
        <x:v>28</x:v>
      </x:c>
      <x:c r="B29" s="1" t="s">
        <x:v>778</x:v>
      </x:c>
      <x:c r="C29" s="1" t="s">
        <x:v>779</x:v>
      </x:c>
      <x:c r="D29" s="1" t="s">
        <x:v>219</x:v>
      </x:c>
      <x:c r="E29" s="1" t="s">
        <x:v>780</x:v>
      </x:c>
      <x:c r="F29" s="1" t="s">
        <x:v>781</x:v>
      </x:c>
      <x:c r="G29" s="1" t="s">
        <x:v>762</x:v>
      </x:c>
      <x:c r="H29" s="1"/>
      <x:c r="I29" s="1" t="s">
        <x:v>589</x:v>
      </x:c>
      <x:c r="J29" s="1" t="s">
        <x:v>590</x:v>
      </x:c>
      <x:c r="K29" s="1" t="s">
        <x:v>782</x:v>
      </x:c>
      <x:c r="L29" s="1" t="s">
        <x:v>783</x:v>
      </x:c>
      <x:c r="M29" s="1" t="s">
        <x:v>784</x:v>
      </x:c>
      <x:c r="N29" s="1" t="s">
        <x:v>785</x:v>
      </x:c>
      <x:c r="O29" s="1" t="s">
        <x:v>212</x:v>
      </x:c>
    </x:row>
    <x:row r="30" ht="54.95000076293945" customHeight="1">
      <x:c r="A30" s="1">
        <x:v>29</x:v>
      </x:c>
      <x:c r="B30" s="1" t="s">
        <x:v>786</x:v>
      </x:c>
      <x:c r="C30" s="1" t="s">
        <x:v>787</x:v>
      </x:c>
      <x:c r="D30" s="1" t="s">
        <x:v>788</x:v>
      </x:c>
      <x:c r="E30" s="1" t="s">
        <x:v>789</x:v>
      </x:c>
      <x:c r="F30" s="1" t="s">
        <x:v>790</x:v>
      </x:c>
      <x:c r="G30" s="1" t="s">
        <x:v>762</x:v>
      </x:c>
      <x:c r="H30" s="1"/>
      <x:c r="I30" s="1" t="s">
        <x:v>589</x:v>
      </x:c>
      <x:c r="J30" s="1" t="s">
        <x:v>608</x:v>
      </x:c>
      <x:c r="K30" s="1" t="s">
        <x:v>591</x:v>
      </x:c>
      <x:c r="L30" s="1" t="s">
        <x:v>791</x:v>
      </x:c>
      <x:c r="M30" s="1" t="s">
        <x:v>792</x:v>
      </x:c>
      <x:c r="N30" s="1" t="s">
        <x:v>612</x:v>
      </x:c>
      <x:c r="O30" s="1" t="s">
        <x:v>212</x:v>
      </x:c>
    </x:row>
    <x:row r="31" ht="54.95000076293945" customHeight="1">
      <x:c r="A31" s="1">
        <x:v>30</x:v>
      </x:c>
      <x:c r="B31" s="1" t="s">
        <x:v>793</x:v>
      </x:c>
      <x:c r="C31" s="1" t="s">
        <x:v>794</x:v>
      </x:c>
      <x:c r="D31" s="1" t="s">
        <x:v>519</x:v>
      </x:c>
      <x:c r="E31" s="1" t="s">
        <x:v>795</x:v>
      </x:c>
      <x:c r="F31" s="1" t="s">
        <x:v>796</x:v>
      </x:c>
      <x:c r="G31" s="1" t="s">
        <x:v>588</x:v>
      </x:c>
      <x:c r="H31" s="1" t="s">
        <x:v>640</x:v>
      </x:c>
      <x:c r="I31" s="1" t="s">
        <x:v>589</x:v>
      </x:c>
      <x:c r="J31" s="1" t="s">
        <x:v>625</x:v>
      </x:c>
      <x:c r="K31" s="1" t="s">
        <x:v>797</x:v>
      </x:c>
      <x:c r="L31" s="1" t="s">
        <x:v>592</x:v>
      </x:c>
      <x:c r="M31" s="1" t="s">
        <x:v>798</x:v>
      </x:c>
      <x:c r="N31" s="1" t="s">
        <x:v>799</x:v>
      </x:c>
      <x:c r="O31" s="1" t="s">
        <x:v>212</x:v>
      </x:c>
    </x:row>
    <x:row r="32" ht="54.95000076293945" customHeight="1">
      <x:c r="A32" s="1">
        <x:v>31</x:v>
      </x:c>
      <x:c r="B32" s="1" t="s">
        <x:v>800</x:v>
      </x:c>
      <x:c r="C32" s="1" t="s">
        <x:v>801</x:v>
      </x:c>
      <x:c r="D32" s="1" t="s">
        <x:v>524</x:v>
      </x:c>
      <x:c r="E32" s="1" t="s">
        <x:v>802</x:v>
      </x:c>
      <x:c r="F32" s="1" t="s">
        <x:v>803</x:v>
      </x:c>
      <x:c r="G32" s="1" t="s">
        <x:v>640</x:v>
      </x:c>
      <x:c r="H32" s="1"/>
      <x:c r="I32" s="1" t="s">
        <x:v>589</x:v>
      </x:c>
      <x:c r="J32" s="1" t="s">
        <x:v>590</x:v>
      </x:c>
      <x:c r="K32" s="1" t="s">
        <x:v>609</x:v>
      </x:c>
      <x:c r="L32" s="1" t="s">
        <x:v>642</x:v>
      </x:c>
      <x:c r="M32" s="1" t="s">
        <x:v>804</x:v>
      </x:c>
      <x:c r="N32" s="1" t="s">
        <x:v>805</x:v>
      </x:c>
      <x:c r="O32" s="1" t="s">
        <x:v>212</x:v>
      </x:c>
    </x:row>
    <x:row r="33" ht="54.95000076293945" customHeight="1">
      <x:c r="A33" s="1">
        <x:v>32</x:v>
      </x:c>
      <x:c r="B33" s="1" t="s">
        <x:v>806</x:v>
      </x:c>
      <x:c r="C33" s="1" t="s">
        <x:v>807</x:v>
      </x:c>
      <x:c r="D33" s="1" t="s">
        <x:v>527</x:v>
      </x:c>
      <x:c r="E33" s="1" t="s">
        <x:v>808</x:v>
      </x:c>
      <x:c r="F33" s="1" t="s">
        <x:v>809</x:v>
      </x:c>
      <x:c r="G33" s="1" t="s">
        <x:v>640</x:v>
      </x:c>
      <x:c r="H33" s="1"/>
      <x:c r="I33" s="1" t="s">
        <x:v>589</x:v>
      </x:c>
      <x:c r="J33" s="1" t="s">
        <x:v>590</x:v>
      </x:c>
      <x:c r="K33" s="1" t="s">
        <x:v>591</x:v>
      </x:c>
      <x:c r="L33" s="1" t="s">
        <x:v>592</x:v>
      </x:c>
      <x:c r="M33" s="1" t="s">
        <x:v>810</x:v>
      </x:c>
      <x:c r="N33" s="1" t="s">
        <x:v>811</x:v>
      </x:c>
      <x:c r="O33" s="1" t="s">
        <x:v>212</x:v>
      </x:c>
    </x:row>
  </x:sheetData>
  <x:pageMargins left="0.7" right="0.7" top="0.75" bottom="0.75" header="0.3" footer="0.3"/>
</x:worksheet>
</file>

<file path=xl/worksheets/sheet6.xml><?xml version="1.0" encoding="utf-8"?>
<worksheet xmlns="http://schemas.openxmlformats.org/spreadsheetml/2006/main">
  <sheetFormatPr defaultRowHeight="14.25"/>
  <cols>
    <col min="1" max="1" width="18" customWidth="1"/>
    <col min="2" max="2" width="24" customWidth="1"/>
    <col min="3" max="3" width="28" customWidth="1"/>
    <col min="4" max="4" width="55" customWidth="1"/>
    <col min="5" max="5" width="42" customWidth="1"/>
    <col min="6" max="6" width="90" customWidth="1"/>
    <col min="7" max="8" width="48" customWidth="1"/>
    <col min="9" max="9" width="18" customWidth="1"/>
    <col min="10" max="10" width="90" customWidth="1"/>
    <col min="11" max="12" width="65" customWidth="1"/>
    <col min="13" max="13" width="45" customWidth="1"/>
    <col min="14" max="14" width="22" customWidth="1"/>
    <col min="15" max="15" width="100" customWidth="1"/>
    <col min="16" max="16" width="65" customWidth="1"/>
    <col min="17" max="17" width="38" customWidth="1"/>
    <col min="18" max="18" width="55" customWidth="1"/>
    <col min="19" max="19" width="70" customWidth="1"/>
    <col min="20" max="21" width="14" customWidth="1"/>
    <col min="22" max="22" width="16" customWidth="1"/>
    <col min="23" max="24" width="14" customWidth="1"/>
    <col min="25" max="26" width="16" customWidth="1"/>
    <col min="27" max="27" width="24" customWidth="1"/>
    <col min="28" max="28" width="16" customWidth="1"/>
    <col min="29" max="29" width="70" customWidth="1"/>
    <col min="30" max="30" width="80" customWidth="1"/>
  </cols>
  <sheetData>
    <row r="1" ht="32.099998474121094" customHeight="1">
      <c r="A1" s="2" t="s">
        <v>570</v>
      </c>
      <c r="B1" s="2" t="s">
        <v>571</v>
      </c>
      <c r="C1" s="2" t="s">
        <v>812</v>
      </c>
      <c r="D1" s="2" t="s">
        <v>577</v>
      </c>
      <c r="E1" s="2" t="s">
        <v>813</v>
      </c>
      <c r="F1" s="2" t="s">
        <v>814</v>
      </c>
      <c r="G1" s="2" t="s">
        <v>815</v>
      </c>
      <c r="H1" s="2" t="s">
        <v>816</v>
      </c>
      <c r="I1" s="2" t="s">
        <v>817</v>
      </c>
      <c r="J1" s="2" t="s">
        <v>818</v>
      </c>
      <c r="K1" s="2" t="s">
        <v>819</v>
      </c>
      <c r="L1" s="2" t="s">
        <v>820</v>
      </c>
      <c r="M1" s="2" t="s">
        <v>821</v>
      </c>
      <c r="N1" s="2" t="s">
        <v>822</v>
      </c>
      <c r="O1" s="2" t="s">
        <v>823</v>
      </c>
      <c r="P1" s="2" t="s">
        <v>824</v>
      </c>
      <c r="Q1" s="2" t="s">
        <v>825</v>
      </c>
      <c r="R1" s="2" t="s">
        <v>826</v>
      </c>
      <c r="S1" s="2" t="s">
        <v>827</v>
      </c>
      <c r="T1" s="2" t="s">
        <v>828</v>
      </c>
      <c r="U1" s="2" t="s">
        <v>829</v>
      </c>
      <c r="V1" s="2" t="s">
        <v>830</v>
      </c>
      <c r="W1" s="2" t="s">
        <v>831</v>
      </c>
      <c r="X1" s="2" t="s">
        <v>832</v>
      </c>
      <c r="Y1" s="2" t="s">
        <v>833</v>
      </c>
      <c r="Z1" s="2" t="s">
        <v>834</v>
      </c>
      <c r="AA1" s="2" t="s">
        <v>835</v>
      </c>
      <c r="AB1" s="2" t="s">
        <v>836</v>
      </c>
      <c r="AC1" s="2" t="s">
        <v>837</v>
      </c>
      <c r="AD1" s="2" t="s">
        <v>838</v>
      </c>
    </row>
    <row r="2" ht="87.94999694824219" customHeight="1">
      <c r="A2" s="1" t="s">
        <v>583</v>
      </c>
      <c r="B2" s="1" t="s">
        <v>584</v>
      </c>
      <c r="C2" s="1" t="s">
        <v>586</v>
      </c>
      <c r="D2" s="1" t="s">
        <v>839</v>
      </c>
      <c r="E2" s="1" t="s">
        <v>840</v>
      </c>
      <c r="F2" s="1" t="s">
        <v>841</v>
      </c>
      <c r="G2" s="1" t="s">
        <v>842</v>
      </c>
      <c r="H2" s="1" t="s">
        <v>843</v>
      </c>
      <c r="I2" s="1" t="s">
        <v>844</v>
      </c>
      <c r="J2" s="1" t="s">
        <v>845</v>
      </c>
      <c r="K2" s="1" t="s">
        <v>846</v>
      </c>
      <c r="L2" s="1" t="s">
        <v>847</v>
      </c>
      <c r="M2" s="1" t="s">
        <v>848</v>
      </c>
      <c r="N2" s="1" t="s">
        <v>849</v>
      </c>
      <c r="O2" s="1" t="s">
        <v>850</v>
      </c>
      <c r="P2" s="1" t="s">
        <v>851</v>
      </c>
      <c r="Q2" s="1" t="s">
        <v>212</v>
      </c>
      <c r="R2" s="1" t="s">
        <v>852</v>
      </c>
      <c r="S2" s="1" t="s">
        <v>853</v>
      </c>
      <c r="T2" s="1">
        <v>1</v>
      </c>
      <c r="U2" s="1">
        <v>1</v>
      </c>
      <c r="V2" s="1">
        <v>2</v>
      </c>
      <c r="W2" s="1">
        <v>2</v>
      </c>
      <c r="X2" s="1">
        <v>0</v>
      </c>
      <c r="Y2" s="1">
        <v>1</v>
      </c>
      <c r="Z2" s="1">
        <v>1</v>
      </c>
      <c r="AA2" s="1" t="s">
        <v>854</v>
      </c>
      <c r="AB2" s="1">
        <v>8</v>
      </c>
      <c r="AC2" s="1" t="s">
        <v>855</v>
      </c>
      <c r="AD2" s="1" t="s">
        <v>856</v>
      </c>
    </row>
    <row r="3" ht="87.94999694824219" customHeight="1">
      <c r="A3" s="1" t="s">
        <v>595</v>
      </c>
      <c r="B3" s="1" t="s">
        <v>596</v>
      </c>
      <c r="C3" s="1" t="s">
        <v>857</v>
      </c>
      <c r="D3" s="1" t="s">
        <v>858</v>
      </c>
      <c r="E3" s="1" t="s">
        <v>859</v>
      </c>
      <c r="F3" s="1" t="s">
        <v>860</v>
      </c>
      <c r="G3" s="1" t="s">
        <v>861</v>
      </c>
      <c r="H3" s="1" t="s">
        <v>862</v>
      </c>
      <c r="I3" s="1" t="s">
        <v>844</v>
      </c>
      <c r="J3" s="1" t="s">
        <v>863</v>
      </c>
      <c r="K3" s="1" t="s">
        <v>864</v>
      </c>
      <c r="L3" s="1" t="s">
        <v>865</v>
      </c>
      <c r="M3" s="1" t="s">
        <v>866</v>
      </c>
      <c r="N3" s="1" t="s">
        <v>867</v>
      </c>
      <c r="O3" s="1" t="s">
        <v>868</v>
      </c>
      <c r="P3" s="1" t="s">
        <v>869</v>
      </c>
      <c r="Q3" s="1" t="s">
        <v>212</v>
      </c>
      <c r="R3" s="1" t="s">
        <v>870</v>
      </c>
      <c r="S3" s="1" t="s">
        <v>871</v>
      </c>
      <c r="T3" s="1">
        <v>1</v>
      </c>
      <c r="U3" s="1">
        <v>1</v>
      </c>
      <c r="V3" s="1">
        <v>1</v>
      </c>
      <c r="W3" s="1">
        <v>2</v>
      </c>
      <c r="X3" s="1">
        <v>0</v>
      </c>
      <c r="Y3" s="1">
        <v>0</v>
      </c>
      <c r="Z3" s="1">
        <v>2</v>
      </c>
      <c r="AA3" s="1" t="s">
        <v>872</v>
      </c>
      <c r="AB3" s="1">
        <v>7</v>
      </c>
      <c r="AC3" s="1" t="s">
        <v>873</v>
      </c>
      <c r="AD3" s="1" t="s">
        <v>874</v>
      </c>
    </row>
    <row r="4" ht="87.94999694824219" customHeight="1">
      <c r="A4" s="1" t="s">
        <v>602</v>
      </c>
      <c r="B4" s="1" t="s">
        <v>603</v>
      </c>
      <c r="C4" s="1" t="s">
        <v>875</v>
      </c>
      <c r="D4" s="1" t="s">
        <v>876</v>
      </c>
      <c r="E4" s="1" t="s">
        <v>877</v>
      </c>
      <c r="F4" s="1" t="s">
        <v>878</v>
      </c>
      <c r="G4" s="1" t="s">
        <v>879</v>
      </c>
      <c r="H4" s="1" t="s">
        <v>880</v>
      </c>
      <c r="I4" s="1" t="s">
        <v>844</v>
      </c>
      <c r="J4" s="1" t="s">
        <v>881</v>
      </c>
      <c r="K4" s="1" t="s">
        <v>882</v>
      </c>
      <c r="L4" s="1" t="s">
        <v>883</v>
      </c>
      <c r="M4" s="1" t="s">
        <v>884</v>
      </c>
      <c r="N4" s="1" t="s">
        <v>885</v>
      </c>
      <c r="O4" s="1" t="s">
        <v>886</v>
      </c>
      <c r="P4" s="1" t="s">
        <v>887</v>
      </c>
      <c r="Q4" s="1" t="s">
        <v>888</v>
      </c>
      <c r="R4" s="1" t="s">
        <v>212</v>
      </c>
      <c r="S4" s="1" t="s">
        <v>889</v>
      </c>
      <c r="T4" s="1">
        <v>2</v>
      </c>
      <c r="U4" s="1">
        <v>1</v>
      </c>
      <c r="V4" s="1">
        <v>2</v>
      </c>
      <c r="W4" s="1">
        <v>1</v>
      </c>
      <c r="X4" s="1">
        <v>0</v>
      </c>
      <c r="Y4" s="1">
        <v>1</v>
      </c>
      <c r="Z4" s="1">
        <v>0</v>
      </c>
      <c r="AA4" s="1" t="s">
        <v>890</v>
      </c>
      <c r="AB4" s="1">
        <v>7</v>
      </c>
      <c r="AC4" s="1" t="s">
        <v>891</v>
      </c>
      <c r="AD4" s="1" t="s">
        <v>892</v>
      </c>
    </row>
    <row r="5" ht="87.94999694824219" customHeight="1">
      <c r="A5" s="1" t="s">
        <v>613</v>
      </c>
      <c r="B5" s="1" t="s">
        <v>614</v>
      </c>
      <c r="C5" s="1" t="s">
        <v>893</v>
      </c>
      <c r="D5" s="1" t="s">
        <v>894</v>
      </c>
      <c r="E5" s="1" t="s">
        <v>840</v>
      </c>
      <c r="F5" s="1" t="s">
        <v>895</v>
      </c>
      <c r="G5" s="1" t="s">
        <v>896</v>
      </c>
      <c r="H5" s="1" t="s">
        <v>897</v>
      </c>
      <c r="I5" s="1" t="s">
        <v>898</v>
      </c>
      <c r="J5" s="1" t="s">
        <v>899</v>
      </c>
      <c r="K5" s="1" t="s">
        <v>900</v>
      </c>
      <c r="L5" s="1" t="s">
        <v>901</v>
      </c>
      <c r="M5" s="1" t="s">
        <v>902</v>
      </c>
      <c r="N5" s="1" t="s">
        <v>903</v>
      </c>
      <c r="O5" s="1" t="s">
        <v>904</v>
      </c>
      <c r="P5" s="1" t="s">
        <v>905</v>
      </c>
      <c r="Q5" s="1" t="s">
        <v>212</v>
      </c>
      <c r="R5" s="1" t="s">
        <v>212</v>
      </c>
      <c r="S5" s="1" t="s">
        <v>906</v>
      </c>
      <c r="T5" s="1">
        <v>1</v>
      </c>
      <c r="U5" s="1">
        <v>0</v>
      </c>
      <c r="V5" s="1">
        <v>1</v>
      </c>
      <c r="W5" s="1">
        <v>1</v>
      </c>
      <c r="X5" s="1">
        <v>0</v>
      </c>
      <c r="Y5" s="1">
        <v>1</v>
      </c>
      <c r="Z5" s="1">
        <v>1</v>
      </c>
      <c r="AA5" s="1" t="s">
        <v>907</v>
      </c>
      <c r="AB5" s="1">
        <v>5</v>
      </c>
      <c r="AC5" s="1" t="s">
        <v>908</v>
      </c>
      <c r="AD5" s="1" t="s">
        <v>909</v>
      </c>
    </row>
    <row r="6" ht="87.94999694824219" customHeight="1">
      <c r="A6" s="1" t="s">
        <v>620</v>
      </c>
      <c r="B6" s="1" t="s">
        <v>621</v>
      </c>
      <c r="C6" s="1" t="s">
        <v>910</v>
      </c>
      <c r="D6" s="1" t="s">
        <v>911</v>
      </c>
      <c r="E6" s="1" t="s">
        <v>912</v>
      </c>
      <c r="F6" s="1" t="s">
        <v>913</v>
      </c>
      <c r="G6" s="1" t="s">
        <v>879</v>
      </c>
      <c r="H6" s="1" t="s">
        <v>914</v>
      </c>
      <c r="I6" s="1" t="s">
        <v>844</v>
      </c>
      <c r="J6" s="1" t="s">
        <v>915</v>
      </c>
      <c r="K6" s="1" t="s">
        <v>916</v>
      </c>
      <c r="L6" s="1" t="s">
        <v>865</v>
      </c>
      <c r="M6" s="1" t="s">
        <v>212</v>
      </c>
      <c r="N6" s="1" t="s">
        <v>917</v>
      </c>
      <c r="O6" s="1" t="s">
        <v>918</v>
      </c>
      <c r="P6" s="1" t="s">
        <v>919</v>
      </c>
      <c r="Q6" s="1" t="s">
        <v>212</v>
      </c>
      <c r="R6" s="1" t="s">
        <v>920</v>
      </c>
      <c r="S6" s="1" t="s">
        <v>921</v>
      </c>
      <c r="T6" s="1">
        <v>2</v>
      </c>
      <c r="U6" s="1">
        <v>1</v>
      </c>
      <c r="V6" s="1">
        <v>1</v>
      </c>
      <c r="W6" s="1">
        <v>1</v>
      </c>
      <c r="X6" s="1">
        <v>0</v>
      </c>
      <c r="Y6" s="1">
        <v>1</v>
      </c>
      <c r="Z6" s="1">
        <v>2</v>
      </c>
      <c r="AA6" s="1" t="s">
        <v>922</v>
      </c>
      <c r="AB6" s="1">
        <v>8</v>
      </c>
      <c r="AC6" s="1" t="s">
        <v>855</v>
      </c>
      <c r="AD6" s="1" t="s">
        <v>923</v>
      </c>
    </row>
    <row r="7" ht="87.94999694824219" customHeight="1">
      <c r="A7" s="1" t="s">
        <v>629</v>
      </c>
      <c r="B7" s="1" t="s">
        <v>630</v>
      </c>
      <c r="C7" s="1" t="s">
        <v>924</v>
      </c>
      <c r="D7" s="1" t="s">
        <v>925</v>
      </c>
      <c r="E7" s="1" t="s">
        <v>840</v>
      </c>
      <c r="F7" s="1" t="s">
        <v>926</v>
      </c>
      <c r="G7" s="1" t="s">
        <v>879</v>
      </c>
      <c r="H7" s="1" t="s">
        <v>927</v>
      </c>
      <c r="I7" s="1" t="s">
        <v>844</v>
      </c>
      <c r="J7" s="1" t="s">
        <v>928</v>
      </c>
      <c r="K7" s="1" t="s">
        <v>929</v>
      </c>
      <c r="L7" s="1" t="s">
        <v>865</v>
      </c>
      <c r="M7" s="1" t="s">
        <v>212</v>
      </c>
      <c r="N7" s="1" t="s">
        <v>930</v>
      </c>
      <c r="O7" s="1" t="s">
        <v>931</v>
      </c>
      <c r="P7" s="1" t="s">
        <v>932</v>
      </c>
      <c r="Q7" s="1" t="s">
        <v>212</v>
      </c>
      <c r="R7" s="1" t="s">
        <v>212</v>
      </c>
      <c r="S7" s="1" t="s">
        <v>933</v>
      </c>
      <c r="T7" s="1">
        <v>1</v>
      </c>
      <c r="U7" s="1">
        <v>1</v>
      </c>
      <c r="V7" s="1">
        <v>2</v>
      </c>
      <c r="W7" s="1">
        <v>1</v>
      </c>
      <c r="X7" s="1">
        <v>0</v>
      </c>
      <c r="Y7" s="1">
        <v>0</v>
      </c>
      <c r="Z7" s="1">
        <v>0</v>
      </c>
      <c r="AA7" s="1" t="s">
        <v>934</v>
      </c>
      <c r="AB7" s="1">
        <v>5</v>
      </c>
      <c r="AC7" s="1" t="s">
        <v>935</v>
      </c>
      <c r="AD7" s="1" t="s">
        <v>936</v>
      </c>
    </row>
    <row r="8" ht="87.94999694824219" customHeight="1">
      <c r="A8" s="1" t="s">
        <v>636</v>
      </c>
      <c r="B8" s="1" t="s">
        <v>637</v>
      </c>
      <c r="C8" s="1" t="s">
        <v>937</v>
      </c>
      <c r="D8" s="1" t="s">
        <v>938</v>
      </c>
      <c r="E8" s="1" t="s">
        <v>840</v>
      </c>
      <c r="F8" s="1" t="s">
        <v>939</v>
      </c>
      <c r="G8" s="1" t="s">
        <v>879</v>
      </c>
      <c r="H8" s="1" t="s">
        <v>927</v>
      </c>
      <c r="I8" s="1" t="s">
        <v>844</v>
      </c>
      <c r="J8" s="1" t="s">
        <v>940</v>
      </c>
      <c r="K8" s="1" t="s">
        <v>941</v>
      </c>
      <c r="L8" s="1" t="s">
        <v>942</v>
      </c>
      <c r="M8" s="1" t="s">
        <v>212</v>
      </c>
      <c r="N8" s="1" t="s">
        <v>930</v>
      </c>
      <c r="O8" s="1" t="s">
        <v>943</v>
      </c>
      <c r="P8" s="1" t="s">
        <v>944</v>
      </c>
      <c r="Q8" s="1" t="s">
        <v>212</v>
      </c>
      <c r="R8" s="1" t="s">
        <v>212</v>
      </c>
      <c r="S8" s="1" t="s">
        <v>930</v>
      </c>
      <c r="T8" s="1">
        <v>1</v>
      </c>
      <c r="U8" s="1">
        <v>1</v>
      </c>
      <c r="V8" s="1">
        <v>2</v>
      </c>
      <c r="W8" s="1">
        <v>1</v>
      </c>
      <c r="X8" s="1">
        <v>0</v>
      </c>
      <c r="Y8" s="1">
        <v>0</v>
      </c>
      <c r="Z8" s="1">
        <v>0</v>
      </c>
      <c r="AA8" s="1" t="s">
        <v>934</v>
      </c>
      <c r="AB8" s="1">
        <v>5</v>
      </c>
      <c r="AC8" s="1" t="s">
        <v>935</v>
      </c>
      <c r="AD8" s="1" t="s">
        <v>945</v>
      </c>
    </row>
    <row r="9" ht="87.94999694824219" customHeight="1">
      <c r="A9" s="1" t="s">
        <v>645</v>
      </c>
      <c r="B9" s="1" t="s">
        <v>646</v>
      </c>
      <c r="C9" s="1" t="s">
        <v>647</v>
      </c>
      <c r="D9" s="1" t="s">
        <v>946</v>
      </c>
      <c r="E9" s="1" t="s">
        <v>947</v>
      </c>
      <c r="F9" s="1" t="s">
        <v>948</v>
      </c>
      <c r="G9" s="1" t="s">
        <v>879</v>
      </c>
      <c r="H9" s="1" t="s">
        <v>927</v>
      </c>
      <c r="I9" s="1" t="s">
        <v>844</v>
      </c>
      <c r="J9" s="1" t="s">
        <v>949</v>
      </c>
      <c r="K9" s="1" t="s">
        <v>950</v>
      </c>
      <c r="L9" s="1" t="s">
        <v>865</v>
      </c>
      <c r="M9" s="1" t="s">
        <v>212</v>
      </c>
      <c r="N9" s="1" t="s">
        <v>930</v>
      </c>
      <c r="O9" s="1" t="s">
        <v>951</v>
      </c>
      <c r="P9" s="1" t="s">
        <v>944</v>
      </c>
      <c r="Q9" s="1" t="s">
        <v>212</v>
      </c>
      <c r="R9" s="1" t="s">
        <v>952</v>
      </c>
      <c r="S9" s="1" t="s">
        <v>930</v>
      </c>
      <c r="T9" s="1">
        <v>1</v>
      </c>
      <c r="U9" s="1">
        <v>1</v>
      </c>
      <c r="V9" s="1">
        <v>2</v>
      </c>
      <c r="W9" s="1">
        <v>1</v>
      </c>
      <c r="X9" s="1">
        <v>0</v>
      </c>
      <c r="Y9" s="1">
        <v>0</v>
      </c>
      <c r="Z9" s="1">
        <v>0</v>
      </c>
      <c r="AA9" s="1" t="s">
        <v>934</v>
      </c>
      <c r="AB9" s="1">
        <v>5</v>
      </c>
      <c r="AC9" s="1" t="s">
        <v>935</v>
      </c>
      <c r="AD9" s="1" t="s">
        <v>953</v>
      </c>
    </row>
    <row r="10" ht="87.94999694824219" customHeight="1">
      <c r="A10" s="1" t="s">
        <v>651</v>
      </c>
      <c r="B10" s="1" t="s">
        <v>652</v>
      </c>
      <c r="C10" s="1" t="s">
        <v>954</v>
      </c>
      <c r="D10" s="1" t="s">
        <v>955</v>
      </c>
      <c r="E10" s="1" t="s">
        <v>840</v>
      </c>
      <c r="F10" s="1" t="s">
        <v>956</v>
      </c>
      <c r="G10" s="1" t="s">
        <v>879</v>
      </c>
      <c r="H10" s="1" t="s">
        <v>927</v>
      </c>
      <c r="I10" s="1" t="s">
        <v>844</v>
      </c>
      <c r="J10" s="1" t="s">
        <v>957</v>
      </c>
      <c r="K10" s="1" t="s">
        <v>958</v>
      </c>
      <c r="L10" s="1" t="s">
        <v>865</v>
      </c>
      <c r="M10" s="1" t="s">
        <v>212</v>
      </c>
      <c r="N10" s="1" t="s">
        <v>959</v>
      </c>
      <c r="O10" s="1" t="s">
        <v>960</v>
      </c>
      <c r="P10" s="1" t="s">
        <v>961</v>
      </c>
      <c r="Q10" s="1" t="s">
        <v>212</v>
      </c>
      <c r="R10" s="1" t="s">
        <v>212</v>
      </c>
      <c r="S10" s="1" t="s">
        <v>962</v>
      </c>
      <c r="T10" s="1">
        <v>1</v>
      </c>
      <c r="U10" s="1">
        <v>1</v>
      </c>
      <c r="V10" s="1">
        <v>2</v>
      </c>
      <c r="W10" s="1">
        <v>1</v>
      </c>
      <c r="X10" s="1">
        <v>0</v>
      </c>
      <c r="Y10" s="1">
        <v>1</v>
      </c>
      <c r="Z10" s="1">
        <v>2</v>
      </c>
      <c r="AA10" s="1" t="s">
        <v>963</v>
      </c>
      <c r="AB10" s="1">
        <v>8</v>
      </c>
      <c r="AC10" s="1" t="s">
        <v>855</v>
      </c>
      <c r="AD10" s="1" t="s">
        <v>964</v>
      </c>
    </row>
    <row r="11" ht="87.94999694824219" customHeight="1">
      <c r="A11" s="1" t="s">
        <v>659</v>
      </c>
      <c r="B11" s="1" t="s">
        <v>660</v>
      </c>
      <c r="C11" s="1" t="s">
        <v>662</v>
      </c>
      <c r="D11" s="1" t="s">
        <v>965</v>
      </c>
      <c r="E11" s="1" t="s">
        <v>966</v>
      </c>
      <c r="F11" s="1" t="s">
        <v>967</v>
      </c>
      <c r="G11" s="1" t="s">
        <v>968</v>
      </c>
      <c r="H11" s="1" t="s">
        <v>969</v>
      </c>
      <c r="I11" s="1" t="s">
        <v>970</v>
      </c>
      <c r="J11" s="1" t="s">
        <v>971</v>
      </c>
      <c r="K11" s="1" t="s">
        <v>972</v>
      </c>
      <c r="L11" s="1" t="s">
        <v>865</v>
      </c>
      <c r="M11" s="1" t="s">
        <v>212</v>
      </c>
      <c r="N11" s="1" t="s">
        <v>903</v>
      </c>
      <c r="O11" s="1" t="s">
        <v>973</v>
      </c>
      <c r="P11" s="1" t="s">
        <v>974</v>
      </c>
      <c r="Q11" s="1" t="s">
        <v>212</v>
      </c>
      <c r="R11" s="1" t="s">
        <v>975</v>
      </c>
      <c r="S11" s="1" t="s">
        <v>930</v>
      </c>
      <c r="T11" s="1">
        <v>1</v>
      </c>
      <c r="U11" s="1">
        <v>2</v>
      </c>
      <c r="V11" s="1">
        <v>2</v>
      </c>
      <c r="W11" s="1">
        <v>1</v>
      </c>
      <c r="X11" s="1">
        <v>0</v>
      </c>
      <c r="Y11" s="1">
        <v>1</v>
      </c>
      <c r="Z11" s="1">
        <v>0</v>
      </c>
      <c r="AA11" s="1" t="s">
        <v>976</v>
      </c>
      <c r="AB11" s="1">
        <v>7</v>
      </c>
      <c r="AC11" s="1" t="s">
        <v>891</v>
      </c>
      <c r="AD11" s="1" t="s">
        <v>977</v>
      </c>
    </row>
    <row r="12" ht="87.94999694824219" customHeight="1">
      <c r="A12" s="1" t="s">
        <v>666</v>
      </c>
      <c r="B12" s="1" t="s">
        <v>667</v>
      </c>
      <c r="C12" s="1" t="s">
        <v>669</v>
      </c>
      <c r="D12" s="1" t="s">
        <v>978</v>
      </c>
      <c r="E12" s="1" t="s">
        <v>840</v>
      </c>
      <c r="F12" s="1" t="s">
        <v>979</v>
      </c>
      <c r="G12" s="1" t="s">
        <v>879</v>
      </c>
      <c r="H12" s="1" t="s">
        <v>927</v>
      </c>
      <c r="I12" s="1" t="s">
        <v>844</v>
      </c>
      <c r="J12" s="1" t="s">
        <v>980</v>
      </c>
      <c r="K12" s="1" t="s">
        <v>981</v>
      </c>
      <c r="L12" s="1" t="s">
        <v>982</v>
      </c>
      <c r="M12" s="1" t="s">
        <v>212</v>
      </c>
      <c r="N12" s="1" t="s">
        <v>983</v>
      </c>
      <c r="O12" s="1" t="s">
        <v>984</v>
      </c>
      <c r="P12" s="1" t="s">
        <v>985</v>
      </c>
      <c r="Q12" s="1" t="s">
        <v>212</v>
      </c>
      <c r="R12" s="1" t="s">
        <v>986</v>
      </c>
      <c r="S12" s="1" t="s">
        <v>987</v>
      </c>
      <c r="T12" s="1">
        <v>1</v>
      </c>
      <c r="U12" s="1">
        <v>1</v>
      </c>
      <c r="V12" s="1">
        <v>2</v>
      </c>
      <c r="W12" s="1">
        <v>2</v>
      </c>
      <c r="X12" s="1">
        <v>0</v>
      </c>
      <c r="Y12" s="1">
        <v>1</v>
      </c>
      <c r="Z12" s="1">
        <v>0</v>
      </c>
      <c r="AA12" s="1" t="s">
        <v>988</v>
      </c>
      <c r="AB12" s="1">
        <v>7</v>
      </c>
      <c r="AC12" s="1" t="s">
        <v>891</v>
      </c>
      <c r="AD12" s="1" t="s">
        <v>989</v>
      </c>
    </row>
    <row r="13" ht="87.94999694824219" customHeight="1">
      <c r="A13" s="1" t="s">
        <v>674</v>
      </c>
      <c r="B13" s="1" t="s">
        <v>675</v>
      </c>
      <c r="C13" s="1" t="s">
        <v>677</v>
      </c>
      <c r="D13" s="1" t="s">
        <v>990</v>
      </c>
      <c r="E13" s="1" t="s">
        <v>991</v>
      </c>
      <c r="F13" s="1" t="s">
        <v>992</v>
      </c>
      <c r="G13" s="1" t="s">
        <v>879</v>
      </c>
      <c r="H13" s="1" t="s">
        <v>927</v>
      </c>
      <c r="I13" s="1" t="s">
        <v>844</v>
      </c>
      <c r="J13" s="1" t="s">
        <v>949</v>
      </c>
      <c r="K13" s="1" t="s">
        <v>993</v>
      </c>
      <c r="L13" s="1" t="s">
        <v>865</v>
      </c>
      <c r="M13" s="1" t="s">
        <v>994</v>
      </c>
      <c r="N13" s="1" t="s">
        <v>903</v>
      </c>
      <c r="O13" s="1" t="s">
        <v>995</v>
      </c>
      <c r="P13" s="1" t="s">
        <v>944</v>
      </c>
      <c r="Q13" s="1" t="s">
        <v>212</v>
      </c>
      <c r="R13" s="1" t="s">
        <v>996</v>
      </c>
      <c r="S13" s="1" t="s">
        <v>997</v>
      </c>
      <c r="T13" s="1">
        <v>1</v>
      </c>
      <c r="U13" s="1">
        <v>1</v>
      </c>
      <c r="V13" s="1">
        <v>2</v>
      </c>
      <c r="W13" s="1">
        <v>1</v>
      </c>
      <c r="X13" s="1">
        <v>1</v>
      </c>
      <c r="Y13" s="1">
        <v>1</v>
      </c>
      <c r="Z13" s="1">
        <v>1</v>
      </c>
      <c r="AA13" s="1" t="s">
        <v>998</v>
      </c>
      <c r="AB13" s="1">
        <v>8</v>
      </c>
      <c r="AC13" s="1" t="s">
        <v>930</v>
      </c>
      <c r="AD13" s="1" t="s">
        <v>999</v>
      </c>
    </row>
    <row r="14" ht="87.94999694824219" customHeight="1">
      <c r="A14" s="1" t="s">
        <v>681</v>
      </c>
      <c r="B14" s="1" t="s">
        <v>682</v>
      </c>
      <c r="C14" s="1" t="s">
        <v>1000</v>
      </c>
      <c r="D14" s="1" t="s">
        <v>1001</v>
      </c>
      <c r="E14" s="1" t="s">
        <v>1002</v>
      </c>
      <c r="F14" s="1" t="s">
        <v>1003</v>
      </c>
      <c r="G14" s="1" t="s">
        <v>1255</v>
      </c>
      <c r="H14" s="1" t="s">
        <v>1256</v>
      </c>
      <c r="I14" s="1" t="s">
        <v>1004</v>
      </c>
      <c r="J14" s="1" t="s">
        <v>1257</v>
      </c>
      <c r="K14" s="1" t="s">
        <v>1006</v>
      </c>
      <c r="L14" s="1" t="s">
        <v>865</v>
      </c>
      <c r="M14" s="1" t="s">
        <v>212</v>
      </c>
      <c r="N14" s="1" t="s">
        <v>1007</v>
      </c>
      <c r="O14" s="1" t="s">
        <v>1008</v>
      </c>
      <c r="P14" s="1" t="s">
        <v>1009</v>
      </c>
      <c r="Q14" s="1" t="s">
        <v>212</v>
      </c>
      <c r="R14" s="1" t="s">
        <v>1010</v>
      </c>
      <c r="S14" s="1" t="s">
        <v>1011</v>
      </c>
      <c r="T14" s="1">
        <v>2</v>
      </c>
      <c r="U14" s="1">
        <v>0</v>
      </c>
      <c r="V14" s="1">
        <v>2</v>
      </c>
      <c r="W14" s="1">
        <v>1</v>
      </c>
      <c r="X14" s="1">
        <v>0</v>
      </c>
      <c r="Y14" s="1">
        <v>2</v>
      </c>
      <c r="Z14" s="1">
        <v>2</v>
      </c>
      <c r="AA14" s="1" t="s">
        <v>1012</v>
      </c>
      <c r="AB14" s="1">
        <v>9</v>
      </c>
      <c r="AC14" s="1" t="s">
        <v>908</v>
      </c>
      <c r="AD14" s="1" t="s">
        <v>1013</v>
      </c>
    </row>
    <row r="15" ht="87.94999694824219" customHeight="1">
      <c r="A15" s="1" t="s">
        <v>688</v>
      </c>
      <c r="B15" s="1" t="s">
        <v>689</v>
      </c>
      <c r="C15" s="1" t="s">
        <v>691</v>
      </c>
      <c r="D15" s="1" t="str">
        <v>Peer-reviewed conference publication (USENIX Security 2026; formal proceedings, pp. 1827--1845) + arXiv preprint</v>
      </c>
      <c r="E15" s="1" t="s">
        <v>1014</v>
      </c>
      <c r="F15" s="1" t="s">
        <v>1015</v>
      </c>
      <c r="G15" s="1" t="s">
        <v>1265</v>
      </c>
      <c r="H15" s="1" t="s">
        <v>927</v>
      </c>
      <c r="I15" s="1" t="s">
        <v>844</v>
      </c>
      <c r="J15" s="1" t="s">
        <v>1016</v>
      </c>
      <c r="K15" s="1" t="s">
        <v>1017</v>
      </c>
      <c r="L15" s="1" t="s">
        <v>865</v>
      </c>
      <c r="M15" s="1" t="s">
        <v>212</v>
      </c>
      <c r="N15" s="1" t="s">
        <v>903</v>
      </c>
      <c r="O15" s="1" t="s">
        <v>1018</v>
      </c>
      <c r="P15" s="1" t="s">
        <v>1019</v>
      </c>
      <c r="Q15" s="1" t="s">
        <v>212</v>
      </c>
      <c r="R15" s="1" t="s">
        <v>1020</v>
      </c>
      <c r="S15" s="1" t="s">
        <v>1021</v>
      </c>
      <c r="T15" s="1">
        <v>2</v>
      </c>
      <c r="U15" s="1">
        <v>1</v>
      </c>
      <c r="V15" s="1">
        <v>2</v>
      </c>
      <c r="W15" s="1">
        <v>1</v>
      </c>
      <c r="X15" s="1">
        <v>0</v>
      </c>
      <c r="Y15" s="1">
        <v>1</v>
      </c>
      <c r="Z15" s="1">
        <v>2</v>
      </c>
      <c r="AA15" s="1" t="s">
        <v>1022</v>
      </c>
      <c r="AB15" s="1">
        <v>9</v>
      </c>
      <c r="AC15" s="1" t="s">
        <v>855</v>
      </c>
      <c r="AD15" s="1" t="s">
        <v>1023</v>
      </c>
    </row>
    <row r="16" ht="87.94999694824219" customHeight="1">
      <c r="A16" s="1" t="s">
        <v>695</v>
      </c>
      <c r="B16" s="1" t="s">
        <v>696</v>
      </c>
      <c r="C16" s="1" t="s">
        <v>697</v>
      </c>
      <c r="D16" s="1" t="s">
        <v>1024</v>
      </c>
      <c r="E16" s="1" t="s">
        <v>1025</v>
      </c>
      <c r="F16" s="1" t="s">
        <v>1026</v>
      </c>
      <c r="G16" s="1" t="s">
        <v>1266</v>
      </c>
      <c r="H16" s="1" t="s">
        <v>927</v>
      </c>
      <c r="I16" s="1" t="s">
        <v>844</v>
      </c>
      <c r="J16" s="1" t="s">
        <v>1027</v>
      </c>
      <c r="K16" s="1" t="s">
        <v>1028</v>
      </c>
      <c r="L16" s="1" t="s">
        <v>865</v>
      </c>
      <c r="M16" s="1" t="s">
        <v>212</v>
      </c>
      <c r="N16" s="1" t="s">
        <v>930</v>
      </c>
      <c r="O16" s="1" t="s">
        <v>1029</v>
      </c>
      <c r="P16" s="1" t="s">
        <v>944</v>
      </c>
      <c r="Q16" s="1" t="s">
        <v>212</v>
      </c>
      <c r="R16" s="1" t="s">
        <v>1030</v>
      </c>
      <c r="S16" s="1" t="s">
        <v>1031</v>
      </c>
      <c r="T16" s="1">
        <v>2</v>
      </c>
      <c r="U16" s="1">
        <v>1</v>
      </c>
      <c r="V16" s="1">
        <v>2</v>
      </c>
      <c r="W16" s="1">
        <v>1</v>
      </c>
      <c r="X16" s="1">
        <v>0</v>
      </c>
      <c r="Y16" s="1">
        <v>0</v>
      </c>
      <c r="Z16" s="1">
        <v>2</v>
      </c>
      <c r="AA16" s="1" t="s">
        <v>1032</v>
      </c>
      <c r="AB16" s="1">
        <v>8</v>
      </c>
      <c r="AC16" s="1" t="s">
        <v>873</v>
      </c>
      <c r="AD16" s="1" t="s">
        <v>1033</v>
      </c>
    </row>
    <row r="17" ht="87.94999694824219" customHeight="1">
      <c r="A17" s="1" t="s">
        <v>700</v>
      </c>
      <c r="B17" s="1" t="s">
        <v>701</v>
      </c>
      <c r="C17" s="1" t="s">
        <v>702</v>
      </c>
      <c r="D17" s="1" t="s">
        <v>1034</v>
      </c>
      <c r="E17" s="1" t="s">
        <v>1035</v>
      </c>
      <c r="F17" s="1" t="s">
        <v>1036</v>
      </c>
      <c r="G17" s="1" t="s">
        <v>879</v>
      </c>
      <c r="H17" s="1" t="s">
        <v>927</v>
      </c>
      <c r="I17" s="1" t="s">
        <v>844</v>
      </c>
      <c r="J17" s="1" t="s">
        <v>949</v>
      </c>
      <c r="K17" s="1" t="s">
        <v>1037</v>
      </c>
      <c r="L17" s="1" t="s">
        <v>865</v>
      </c>
      <c r="M17" s="1" t="s">
        <v>1038</v>
      </c>
      <c r="N17" s="1" t="s">
        <v>1039</v>
      </c>
      <c r="O17" s="1" t="s">
        <v>1040</v>
      </c>
      <c r="P17" s="1" t="s">
        <v>944</v>
      </c>
      <c r="Q17" s="1" t="s">
        <v>212</v>
      </c>
      <c r="R17" s="1" t="s">
        <v>212</v>
      </c>
      <c r="S17" s="1" t="s">
        <v>906</v>
      </c>
      <c r="T17" s="1">
        <v>2</v>
      </c>
      <c r="U17" s="1">
        <v>1</v>
      </c>
      <c r="V17" s="1">
        <v>2</v>
      </c>
      <c r="W17" s="1">
        <v>1</v>
      </c>
      <c r="X17" s="1">
        <v>1</v>
      </c>
      <c r="Y17" s="1">
        <v>1</v>
      </c>
      <c r="Z17" s="1">
        <v>1</v>
      </c>
      <c r="AA17" s="1" t="s">
        <v>1041</v>
      </c>
      <c r="AB17" s="1">
        <v>9</v>
      </c>
      <c r="AC17" s="1" t="s">
        <v>930</v>
      </c>
      <c r="AD17" s="1" t="s">
        <v>1042</v>
      </c>
    </row>
    <row r="18" ht="87.94999694824219" customHeight="1">
      <c r="A18" s="1" t="s">
        <v>706</v>
      </c>
      <c r="B18" s="1" t="s">
        <v>707</v>
      </c>
      <c r="C18" s="1" t="s">
        <v>1043</v>
      </c>
      <c r="D18" s="1" t="s">
        <v>1044</v>
      </c>
      <c r="E18" s="1" t="s">
        <v>840</v>
      </c>
      <c r="F18" s="1" t="s">
        <v>1045</v>
      </c>
      <c r="G18" s="1" t="s">
        <v>879</v>
      </c>
      <c r="H18" s="1" t="s">
        <v>927</v>
      </c>
      <c r="I18" s="1" t="s">
        <v>844</v>
      </c>
      <c r="J18" s="1" t="s">
        <v>1046</v>
      </c>
      <c r="K18" s="1" t="s">
        <v>1047</v>
      </c>
      <c r="L18" s="1" t="s">
        <v>865</v>
      </c>
      <c r="M18" s="1" t="s">
        <v>212</v>
      </c>
      <c r="N18" s="1" t="s">
        <v>1048</v>
      </c>
      <c r="O18" s="1" t="s">
        <v>1049</v>
      </c>
      <c r="P18" s="1" t="s">
        <v>1050</v>
      </c>
      <c r="Q18" s="1" t="s">
        <v>212</v>
      </c>
      <c r="R18" s="1" t="s">
        <v>212</v>
      </c>
      <c r="S18" s="1" t="s">
        <v>1051</v>
      </c>
      <c r="T18" s="1">
        <v>1</v>
      </c>
      <c r="U18" s="1">
        <v>1</v>
      </c>
      <c r="V18" s="1">
        <v>1</v>
      </c>
      <c r="W18" s="1">
        <v>1</v>
      </c>
      <c r="X18" s="1">
        <v>0</v>
      </c>
      <c r="Y18" s="1">
        <v>1</v>
      </c>
      <c r="Z18" s="1">
        <v>1</v>
      </c>
      <c r="AA18" s="1" t="s">
        <v>1052</v>
      </c>
      <c r="AB18" s="1">
        <v>6</v>
      </c>
      <c r="AC18" s="1" t="s">
        <v>855</v>
      </c>
      <c r="AD18" s="1" t="s">
        <v>1053</v>
      </c>
    </row>
    <row r="19" ht="87.94999694824219" customHeight="1">
      <c r="A19" s="1" t="s">
        <v>714</v>
      </c>
      <c r="B19" s="1" t="s">
        <v>715</v>
      </c>
      <c r="C19" s="1" t="s">
        <v>716</v>
      </c>
      <c r="D19" s="1" t="s">
        <v>1054</v>
      </c>
      <c r="E19" s="1" t="s">
        <v>1035</v>
      </c>
      <c r="F19" s="1" t="s">
        <v>1055</v>
      </c>
      <c r="G19" s="1" t="s">
        <v>879</v>
      </c>
      <c r="H19" s="1" t="s">
        <v>927</v>
      </c>
      <c r="I19" s="1" t="s">
        <v>844</v>
      </c>
      <c r="J19" s="1" t="s">
        <v>949</v>
      </c>
      <c r="K19" s="1" t="s">
        <v>1056</v>
      </c>
      <c r="L19" s="1" t="s">
        <v>865</v>
      </c>
      <c r="M19" s="1" t="s">
        <v>212</v>
      </c>
      <c r="N19" s="1" t="s">
        <v>1057</v>
      </c>
      <c r="O19" s="1" t="s">
        <v>1058</v>
      </c>
      <c r="P19" s="1" t="s">
        <v>944</v>
      </c>
      <c r="Q19" s="1" t="s">
        <v>1059</v>
      </c>
      <c r="R19" s="1" t="s">
        <v>1060</v>
      </c>
      <c r="S19" s="1" t="s">
        <v>930</v>
      </c>
      <c r="T19" s="1">
        <v>2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0</v>
      </c>
      <c r="AA19" s="1" t="s">
        <v>1061</v>
      </c>
      <c r="AB19" s="1">
        <v>7</v>
      </c>
      <c r="AC19" s="1" t="s">
        <v>1062</v>
      </c>
      <c r="AD19" s="1" t="s">
        <v>1063</v>
      </c>
    </row>
    <row r="20" ht="87.94999694824219" customHeight="1">
      <c r="A20" s="1" t="s">
        <v>721</v>
      </c>
      <c r="B20" s="1" t="s">
        <v>722</v>
      </c>
      <c r="C20" s="1" t="s">
        <v>1064</v>
      </c>
      <c r="D20" s="1" t="s">
        <v>1065</v>
      </c>
      <c r="E20" s="1" t="s">
        <v>840</v>
      </c>
      <c r="F20" s="1" t="s">
        <v>1066</v>
      </c>
      <c r="G20" s="1" t="s">
        <v>1265</v>
      </c>
      <c r="H20" s="1" t="s">
        <v>927</v>
      </c>
      <c r="I20" s="1" t="s">
        <v>898</v>
      </c>
      <c r="J20" s="1" t="s">
        <v>1067</v>
      </c>
      <c r="K20" s="1" t="s">
        <v>1068</v>
      </c>
      <c r="L20" s="1" t="s">
        <v>865</v>
      </c>
      <c r="M20" s="1" t="s">
        <v>212</v>
      </c>
      <c r="N20" s="1" t="s">
        <v>1007</v>
      </c>
      <c r="O20" s="1" t="s">
        <v>1258</v>
      </c>
      <c r="P20" s="1" t="s">
        <v>944</v>
      </c>
      <c r="Q20" s="1" t="s">
        <v>212</v>
      </c>
      <c r="R20" s="1" t="s">
        <v>1070</v>
      </c>
      <c r="S20" s="1" t="s">
        <v>930</v>
      </c>
      <c r="T20" s="1">
        <v>1</v>
      </c>
      <c r="U20" s="1">
        <v>0</v>
      </c>
      <c r="V20" s="1">
        <v>2</v>
      </c>
      <c r="W20" s="1">
        <v>1</v>
      </c>
      <c r="X20" s="1">
        <v>0</v>
      </c>
      <c r="Y20" s="1" t="n">
        <v>2</v>
      </c>
      <c r="Z20" s="1">
        <v>0</v>
      </c>
      <c r="AA20" s="1" t="s">
        <v>1259</v>
      </c>
      <c r="AB20" s="1" t="n">
        <v>6</v>
      </c>
      <c r="AC20" s="1" t="s">
        <v>1072</v>
      </c>
      <c r="AD20" s="1" t="s">
        <v>1073</v>
      </c>
    </row>
    <row r="21" ht="87.94999694824219" customHeight="1">
      <c r="A21" s="1" t="s">
        <v>726</v>
      </c>
      <c r="B21" s="1" t="s">
        <v>727</v>
      </c>
      <c r="C21" s="1" t="s">
        <v>1074</v>
      </c>
      <c r="D21" s="1" t="s">
        <v>1075</v>
      </c>
      <c r="E21" s="1" t="s">
        <v>1076</v>
      </c>
      <c r="F21" s="1" t="s">
        <v>1077</v>
      </c>
      <c r="G21" s="1" t="s">
        <v>214</v>
      </c>
      <c r="H21" s="1" t="s">
        <v>927</v>
      </c>
      <c r="I21" s="1" t="s">
        <v>1004</v>
      </c>
      <c r="J21" s="1" t="s">
        <v>1078</v>
      </c>
      <c r="K21" s="1" t="s">
        <v>1079</v>
      </c>
      <c r="L21" s="1" t="s">
        <v>865</v>
      </c>
      <c r="M21" s="1" t="s">
        <v>212</v>
      </c>
      <c r="N21" s="1" t="s">
        <v>930</v>
      </c>
      <c r="O21" s="1" t="s">
        <v>1080</v>
      </c>
      <c r="P21" s="1" t="s">
        <v>212</v>
      </c>
      <c r="Q21" s="1" t="s">
        <v>212</v>
      </c>
      <c r="R21" s="1" t="s">
        <v>212</v>
      </c>
      <c r="S21" s="1" t="s">
        <v>930</v>
      </c>
      <c r="T21" s="1">
        <v>1</v>
      </c>
      <c r="U21" s="1">
        <v>0</v>
      </c>
      <c r="V21" s="1">
        <v>2</v>
      </c>
      <c r="W21" s="1">
        <v>0</v>
      </c>
      <c r="X21" s="1">
        <v>0</v>
      </c>
      <c r="Y21" s="1">
        <v>0</v>
      </c>
      <c r="Z21" s="1">
        <v>0</v>
      </c>
      <c r="AA21" s="1" t="s">
        <v>1081</v>
      </c>
      <c r="AB21" s="1">
        <v>3</v>
      </c>
      <c r="AC21" s="1" t="s">
        <v>1082</v>
      </c>
      <c r="AD21" s="1" t="s">
        <v>1083</v>
      </c>
    </row>
    <row r="22" ht="87.94999694824219" customHeight="1">
      <c r="A22" s="1" t="s">
        <v>733</v>
      </c>
      <c r="B22" s="1" t="s">
        <v>734</v>
      </c>
      <c r="C22" s="1" t="s">
        <v>736</v>
      </c>
      <c r="D22" s="1" t="s">
        <v>1084</v>
      </c>
      <c r="E22" s="1" t="s">
        <v>1085</v>
      </c>
      <c r="F22" s="1" t="s">
        <v>1086</v>
      </c>
      <c r="G22" s="1" t="s">
        <v>879</v>
      </c>
      <c r="H22" s="1" t="s">
        <v>927</v>
      </c>
      <c r="I22" s="1" t="s">
        <v>844</v>
      </c>
      <c r="J22" s="1" t="s">
        <v>949</v>
      </c>
      <c r="K22" s="1" t="s">
        <v>1087</v>
      </c>
      <c r="L22" s="1" t="s">
        <v>865</v>
      </c>
      <c r="M22" s="1" t="s">
        <v>212</v>
      </c>
      <c r="N22" s="1" t="s">
        <v>903</v>
      </c>
      <c r="O22" s="1" t="s">
        <v>1088</v>
      </c>
      <c r="P22" s="1" t="s">
        <v>944</v>
      </c>
      <c r="Q22" s="1" t="s">
        <v>212</v>
      </c>
      <c r="R22" s="1" t="s">
        <v>212</v>
      </c>
      <c r="S22" s="1" t="s">
        <v>1089</v>
      </c>
      <c r="T22" s="1">
        <v>2</v>
      </c>
      <c r="U22" s="1">
        <v>1</v>
      </c>
      <c r="V22" s="1">
        <v>0</v>
      </c>
      <c r="W22" s="1">
        <v>1</v>
      </c>
      <c r="X22" s="1">
        <v>0</v>
      </c>
      <c r="Y22" s="1">
        <v>1</v>
      </c>
      <c r="Z22" s="1">
        <v>2</v>
      </c>
      <c r="AA22" s="1" t="s">
        <v>1090</v>
      </c>
      <c r="AB22" s="1">
        <v>7</v>
      </c>
      <c r="AC22" s="1" t="s">
        <v>1091</v>
      </c>
      <c r="AD22" s="1" t="s">
        <v>1092</v>
      </c>
    </row>
    <row r="23" ht="87.94999694824219" customHeight="1">
      <c r="A23" s="1" t="s">
        <v>739</v>
      </c>
      <c r="B23" s="1" t="s">
        <v>740</v>
      </c>
      <c r="C23" s="1" t="s">
        <v>741</v>
      </c>
      <c r="D23" s="1" t="str">
        <v>Peer-reviewed conference paper (ICSE 2026; DOI 10.1145/3744916.3773113)</v>
      </c>
      <c r="E23" s="1" t="s">
        <v>1093</v>
      </c>
      <c r="F23" s="1" t="s">
        <v>1094</v>
      </c>
      <c r="G23" s="1" t="s">
        <v>1095</v>
      </c>
      <c r="H23" s="1" t="s">
        <v>927</v>
      </c>
      <c r="I23" s="1" t="s">
        <v>970</v>
      </c>
      <c r="J23" s="1" t="s">
        <v>1096</v>
      </c>
      <c r="K23" s="1" t="s">
        <v>1097</v>
      </c>
      <c r="L23" s="1" t="s">
        <v>1098</v>
      </c>
      <c r="M23" s="1" t="s">
        <v>212</v>
      </c>
      <c r="N23" s="1" t="s">
        <v>930</v>
      </c>
      <c r="O23" s="1" t="s">
        <v>1099</v>
      </c>
      <c r="P23" s="1" t="s">
        <v>1100</v>
      </c>
      <c r="Q23" s="1" t="s">
        <v>212</v>
      </c>
      <c r="R23" s="1" t="s">
        <v>1101</v>
      </c>
      <c r="S23" s="1" t="s">
        <v>1102</v>
      </c>
      <c r="T23" s="1">
        <v>2</v>
      </c>
      <c r="U23" s="1">
        <v>2</v>
      </c>
      <c r="V23" s="1">
        <v>2</v>
      </c>
      <c r="W23" s="1">
        <v>1</v>
      </c>
      <c r="X23" s="1">
        <v>0</v>
      </c>
      <c r="Y23" s="1">
        <v>0</v>
      </c>
      <c r="Z23" s="1">
        <v>1</v>
      </c>
      <c r="AA23" s="1" t="s">
        <v>1103</v>
      </c>
      <c r="AB23" s="1">
        <v>8</v>
      </c>
      <c r="AC23" s="1" t="s">
        <v>873</v>
      </c>
      <c r="AD23" s="1" t="s">
        <v>1104</v>
      </c>
    </row>
    <row r="24" ht="87.94999694824219" customHeight="1">
      <c r="A24" s="1" t="s">
        <v>744</v>
      </c>
      <c r="B24" s="1" t="s">
        <v>745</v>
      </c>
      <c r="C24" s="1" t="s">
        <v>1105</v>
      </c>
      <c r="D24" s="1" t="s">
        <v>1106</v>
      </c>
      <c r="E24" s="1" t="s">
        <v>1035</v>
      </c>
      <c r="F24" s="1" t="s">
        <v>1107</v>
      </c>
      <c r="G24" s="1" t="s">
        <v>1108</v>
      </c>
      <c r="H24" s="1" t="s">
        <v>1109</v>
      </c>
      <c r="I24" s="1" t="s">
        <v>898</v>
      </c>
      <c r="J24" s="1" t="s">
        <v>1110</v>
      </c>
      <c r="K24" s="1" t="s">
        <v>1111</v>
      </c>
      <c r="L24" s="1" t="s">
        <v>865</v>
      </c>
      <c r="M24" s="1" t="s">
        <v>212</v>
      </c>
      <c r="N24" s="1" t="s">
        <v>930</v>
      </c>
      <c r="O24" s="1" t="s">
        <v>1112</v>
      </c>
      <c r="P24" s="1" t="s">
        <v>1113</v>
      </c>
      <c r="Q24" s="1" t="s">
        <v>212</v>
      </c>
      <c r="R24" s="1" t="s">
        <v>1114</v>
      </c>
      <c r="S24" s="1" t="s">
        <v>1115</v>
      </c>
      <c r="T24" s="1">
        <v>2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1">
        <v>2</v>
      </c>
      <c r="AA24" s="1" t="s">
        <v>1116</v>
      </c>
      <c r="AB24" s="1">
        <v>5</v>
      </c>
      <c r="AC24" s="1" t="s">
        <v>1117</v>
      </c>
      <c r="AD24" s="1" t="s">
        <v>1118</v>
      </c>
    </row>
    <row r="25" ht="87.94999694824219" customHeight="1">
      <c r="A25" s="1" t="s">
        <v>750</v>
      </c>
      <c r="B25" s="1" t="s">
        <v>751</v>
      </c>
      <c r="C25" s="1" t="s">
        <v>1119</v>
      </c>
      <c r="D25" s="1" t="s">
        <v>1120</v>
      </c>
      <c r="E25" s="1" t="s">
        <v>1121</v>
      </c>
      <c r="F25" s="1" t="s">
        <v>1122</v>
      </c>
      <c r="G25" s="1" t="s">
        <v>1123</v>
      </c>
      <c r="H25" s="1" t="s">
        <v>1124</v>
      </c>
      <c r="I25" s="1" t="s">
        <v>844</v>
      </c>
      <c r="J25" s="1" t="s">
        <v>1125</v>
      </c>
      <c r="K25" s="1" t="s">
        <v>1126</v>
      </c>
      <c r="L25" s="1" t="s">
        <v>1127</v>
      </c>
      <c r="M25" s="1" t="s">
        <v>1128</v>
      </c>
      <c r="N25" s="1" t="s">
        <v>959</v>
      </c>
      <c r="O25" s="1" t="s">
        <v>1129</v>
      </c>
      <c r="P25" s="1" t="s">
        <v>1130</v>
      </c>
      <c r="Q25" s="1" t="s">
        <v>212</v>
      </c>
      <c r="R25" s="1" t="s">
        <v>212</v>
      </c>
      <c r="S25" s="1" t="s">
        <v>1131</v>
      </c>
      <c r="T25" s="1">
        <v>2</v>
      </c>
      <c r="U25" s="1">
        <v>1</v>
      </c>
      <c r="V25" s="1">
        <v>2</v>
      </c>
      <c r="W25" s="1">
        <v>1</v>
      </c>
      <c r="X25" s="1">
        <v>0</v>
      </c>
      <c r="Y25" s="1">
        <v>1</v>
      </c>
      <c r="Z25" s="1">
        <v>1</v>
      </c>
      <c r="AA25" s="1" t="s">
        <v>1132</v>
      </c>
      <c r="AB25" s="1">
        <v>8</v>
      </c>
      <c r="AC25" s="1" t="s">
        <v>855</v>
      </c>
      <c r="AD25" s="1" t="s">
        <v>1133</v>
      </c>
    </row>
    <row r="26" ht="87.94999694824219" customHeight="1">
      <c r="A26" s="1" t="s">
        <v>757</v>
      </c>
      <c r="B26" s="1" t="s">
        <v>758</v>
      </c>
      <c r="C26" s="1" t="s">
        <v>760</v>
      </c>
      <c r="D26" s="1" t="s">
        <v>1134</v>
      </c>
      <c r="E26" s="1" t="s">
        <v>840</v>
      </c>
      <c r="F26" s="1" t="s">
        <v>1135</v>
      </c>
      <c r="G26" s="1" t="s">
        <v>1136</v>
      </c>
      <c r="H26" s="1" t="s">
        <v>1137</v>
      </c>
      <c r="I26" s="1" t="s">
        <v>1004</v>
      </c>
      <c r="J26" s="1" t="s">
        <v>1138</v>
      </c>
      <c r="K26" s="1" t="s">
        <v>1139</v>
      </c>
      <c r="L26" s="1" t="s">
        <v>865</v>
      </c>
      <c r="M26" s="1" t="s">
        <v>212</v>
      </c>
      <c r="N26" s="1" t="s">
        <v>959</v>
      </c>
      <c r="O26" s="1" t="s">
        <v>1140</v>
      </c>
      <c r="P26" s="1" t="s">
        <v>1141</v>
      </c>
      <c r="Q26" s="1" t="s">
        <v>212</v>
      </c>
      <c r="R26" s="1" t="s">
        <v>1142</v>
      </c>
      <c r="S26" s="1" t="s">
        <v>1143</v>
      </c>
      <c r="T26" s="1">
        <v>1</v>
      </c>
      <c r="U26" s="1">
        <v>0</v>
      </c>
      <c r="V26" s="1">
        <v>2</v>
      </c>
      <c r="W26" s="1">
        <v>2</v>
      </c>
      <c r="X26" s="1">
        <v>0</v>
      </c>
      <c r="Y26" s="1">
        <v>1</v>
      </c>
      <c r="Z26" s="1">
        <v>1</v>
      </c>
      <c r="AA26" s="1" t="s">
        <v>1144</v>
      </c>
      <c r="AB26" s="1">
        <v>7</v>
      </c>
      <c r="AC26" s="1" t="s">
        <v>908</v>
      </c>
      <c r="AD26" s="1" t="s">
        <v>1145</v>
      </c>
    </row>
    <row r="27" ht="87.94999694824219" customHeight="1">
      <c r="A27" s="1" t="s">
        <v>766</v>
      </c>
      <c r="B27" s="1" t="s">
        <v>767</v>
      </c>
      <c r="C27" s="1" t="s">
        <v>769</v>
      </c>
      <c r="D27" s="1" t="s">
        <v>1146</v>
      </c>
      <c r="E27" s="1" t="s">
        <v>840</v>
      </c>
      <c r="F27" s="1" t="s">
        <v>1147</v>
      </c>
      <c r="G27" s="1" t="s">
        <v>879</v>
      </c>
      <c r="H27" s="1" t="s">
        <v>927</v>
      </c>
      <c r="I27" s="1" t="s">
        <v>1004</v>
      </c>
      <c r="J27" s="1" t="s">
        <v>1148</v>
      </c>
      <c r="K27" s="1" t="s">
        <v>1149</v>
      </c>
      <c r="L27" s="1" t="s">
        <v>865</v>
      </c>
      <c r="M27" s="1" t="s">
        <v>212</v>
      </c>
      <c r="N27" s="1" t="s">
        <v>903</v>
      </c>
      <c r="O27" s="1" t="s">
        <v>1150</v>
      </c>
      <c r="P27" s="1" t="s">
        <v>944</v>
      </c>
      <c r="Q27" s="1" t="s">
        <v>212</v>
      </c>
      <c r="R27" s="1" t="s">
        <v>1151</v>
      </c>
      <c r="S27" s="1" t="s">
        <v>1152</v>
      </c>
      <c r="T27" s="1">
        <v>1</v>
      </c>
      <c r="U27" s="1">
        <v>0</v>
      </c>
      <c r="V27" s="1">
        <v>2</v>
      </c>
      <c r="W27" s="1">
        <v>1</v>
      </c>
      <c r="X27" s="1">
        <v>0</v>
      </c>
      <c r="Y27" s="1">
        <v>1</v>
      </c>
      <c r="Z27" s="1">
        <v>1</v>
      </c>
      <c r="AA27" s="1" t="s">
        <v>1153</v>
      </c>
      <c r="AB27" s="1">
        <v>6</v>
      </c>
      <c r="AC27" s="1" t="s">
        <v>908</v>
      </c>
      <c r="AD27" s="1" t="s">
        <v>1154</v>
      </c>
    </row>
    <row r="28" ht="87.94999694824219" customHeight="1">
      <c r="A28" s="1" t="s">
        <v>772</v>
      </c>
      <c r="B28" s="1" t="s">
        <v>773</v>
      </c>
      <c r="C28" s="1" t="s">
        <v>775</v>
      </c>
      <c r="D28" s="1" t="s">
        <v>1155</v>
      </c>
      <c r="E28" s="1" t="s">
        <v>840</v>
      </c>
      <c r="F28" s="1" t="s">
        <v>1156</v>
      </c>
      <c r="G28" s="1" t="s">
        <v>879</v>
      </c>
      <c r="H28" s="1" t="s">
        <v>927</v>
      </c>
      <c r="I28" s="1" t="s">
        <v>844</v>
      </c>
      <c r="J28" s="1" t="s">
        <v>1157</v>
      </c>
      <c r="K28" s="1" t="s">
        <v>1158</v>
      </c>
      <c r="L28" s="1" t="s">
        <v>1159</v>
      </c>
      <c r="M28" s="1" t="s">
        <v>1160</v>
      </c>
      <c r="N28" s="1" t="s">
        <v>959</v>
      </c>
      <c r="O28" s="1" t="s">
        <v>1161</v>
      </c>
      <c r="P28" s="1" t="s">
        <v>1162</v>
      </c>
      <c r="Q28" s="1" t="s">
        <v>1163</v>
      </c>
      <c r="R28" s="1" t="s">
        <v>1164</v>
      </c>
      <c r="S28" s="1" t="s">
        <v>1165</v>
      </c>
      <c r="T28" s="1">
        <v>1</v>
      </c>
      <c r="U28" s="1">
        <v>1</v>
      </c>
      <c r="V28" s="1">
        <v>2</v>
      </c>
      <c r="W28" s="1">
        <v>1</v>
      </c>
      <c r="X28" s="1">
        <v>2</v>
      </c>
      <c r="Y28" s="1">
        <v>1</v>
      </c>
      <c r="Z28" s="1">
        <v>2</v>
      </c>
      <c r="AA28" s="1" t="s">
        <v>1166</v>
      </c>
      <c r="AB28" s="1">
        <v>10</v>
      </c>
      <c r="AC28" s="1" t="s">
        <v>930</v>
      </c>
      <c r="AD28" s="1" t="s">
        <v>1167</v>
      </c>
    </row>
    <row r="29" ht="87.94999694824219" customHeight="1">
      <c r="A29" s="1" t="s">
        <v>778</v>
      </c>
      <c r="B29" s="1" t="s">
        <v>779</v>
      </c>
      <c r="C29" s="1" t="s">
        <v>780</v>
      </c>
      <c r="D29" s="1" t="s">
        <v>1168</v>
      </c>
      <c r="E29" s="1" t="s">
        <v>840</v>
      </c>
      <c r="F29" s="1" t="s">
        <v>1169</v>
      </c>
      <c r="G29" s="1" t="s">
        <v>879</v>
      </c>
      <c r="H29" s="1" t="s">
        <v>927</v>
      </c>
      <c r="I29" s="1" t="s">
        <v>844</v>
      </c>
      <c r="J29" s="1" t="s">
        <v>1170</v>
      </c>
      <c r="K29" s="1" t="s">
        <v>1171</v>
      </c>
      <c r="L29" s="1" t="s">
        <v>865</v>
      </c>
      <c r="M29" s="1" t="s">
        <v>212</v>
      </c>
      <c r="N29" s="1" t="s">
        <v>1057</v>
      </c>
      <c r="O29" s="1" t="s">
        <v>1172</v>
      </c>
      <c r="P29" s="1" t="s">
        <v>944</v>
      </c>
      <c r="Q29" s="1" t="s">
        <v>212</v>
      </c>
      <c r="R29" s="1" t="s">
        <v>212</v>
      </c>
      <c r="S29" s="1" t="s">
        <v>1173</v>
      </c>
      <c r="T29" s="1">
        <v>1</v>
      </c>
      <c r="U29" s="1">
        <v>1</v>
      </c>
      <c r="V29" s="1">
        <v>0</v>
      </c>
      <c r="W29" s="1">
        <v>1</v>
      </c>
      <c r="X29" s="1">
        <v>0</v>
      </c>
      <c r="Y29" s="1">
        <v>1</v>
      </c>
      <c r="Z29" s="1">
        <v>1</v>
      </c>
      <c r="AA29" s="1" t="s">
        <v>1174</v>
      </c>
      <c r="AB29" s="1">
        <v>5</v>
      </c>
      <c r="AC29" s="1" t="s">
        <v>1091</v>
      </c>
      <c r="AD29" s="1" t="s">
        <v>1175</v>
      </c>
    </row>
    <row r="30" ht="87.94999694824219" customHeight="1">
      <c r="A30" s="1" t="s">
        <v>786</v>
      </c>
      <c r="B30" s="1" t="s">
        <v>787</v>
      </c>
      <c r="C30" s="1" t="s">
        <v>789</v>
      </c>
      <c r="D30" s="1" t="s">
        <v>1176</v>
      </c>
      <c r="E30" s="1" t="s">
        <v>1085</v>
      </c>
      <c r="F30" s="1" t="s">
        <v>1177</v>
      </c>
      <c r="G30" s="1" t="s">
        <v>1178</v>
      </c>
      <c r="H30" s="1" t="s">
        <v>1179</v>
      </c>
      <c r="I30" s="1" t="s">
        <v>1180</v>
      </c>
      <c r="J30" s="1" t="s">
        <v>1181</v>
      </c>
      <c r="K30" s="1" t="s">
        <v>1182</v>
      </c>
      <c r="L30" s="1" t="s">
        <v>865</v>
      </c>
      <c r="M30" s="1" t="s">
        <v>212</v>
      </c>
      <c r="N30" s="1" t="str">
        <v>Component; configuration</v>
      </c>
      <c r="O30" s="1" t="str">
        <v>A three-backbone comparison fixes the pipeline, hyperparameters, prompts, and orchestration while substituting DeepSeek-V4-Flash, GPT-5.4-mini, and Qwen-3.6-Flash; it isolates backbone choice within a retained LLM-mediated component, not LLM presence or coordination. Four component-level ablations remove malicious-shell-command detection, enrichment, dynamic augmentation, or self-consistency. Reported relative F1 changes are -7.85%, -0.30%, -3.87%, and -4.49%, respectively; the corresponding absolute drops reported in the review are 7.7 points for shell-command detection and 4.4 points for self-consistency. The design is non-factorial, and agent coordination is not isolated.</v>
      </c>
      <c r="P30" s="1" t="s">
        <v>1183</v>
      </c>
      <c r="Q30" s="1" t="s">
        <v>212</v>
      </c>
      <c r="R30" s="1" t="s">
        <v>1184</v>
      </c>
      <c r="S30" s="1" t="s">
        <v>1185</v>
      </c>
      <c r="T30" s="1">
        <v>2</v>
      </c>
      <c r="U30" s="1">
        <v>2</v>
      </c>
      <c r="V30" s="1">
        <v>2</v>
      </c>
      <c r="W30" s="1">
        <v>1</v>
      </c>
      <c r="X30" s="1">
        <v>0</v>
      </c>
      <c r="Y30" s="1">
        <v>1</v>
      </c>
      <c r="Z30" s="1">
        <v>1</v>
      </c>
      <c r="AA30" s="1" t="s">
        <v>1186</v>
      </c>
      <c r="AB30" s="1">
        <v>9</v>
      </c>
      <c r="AC30" s="1" t="s">
        <v>855</v>
      </c>
      <c r="AD30" s="1" t="s">
        <v>1187</v>
      </c>
    </row>
    <row r="31" ht="87.94999694824219" customHeight="1">
      <c r="A31" s="1" t="s">
        <v>793</v>
      </c>
      <c r="B31" s="1" t="s">
        <v>794</v>
      </c>
      <c r="C31" s="1" t="s">
        <v>795</v>
      </c>
      <c r="D31" s="1" t="s">
        <v>1188</v>
      </c>
      <c r="E31" s="1" t="s">
        <v>1189</v>
      </c>
      <c r="F31" s="1" t="s">
        <v>1190</v>
      </c>
      <c r="G31" s="1" t="s">
        <v>1191</v>
      </c>
      <c r="H31" s="1" t="s">
        <v>1192</v>
      </c>
      <c r="I31" s="1" t="s">
        <v>970</v>
      </c>
      <c r="J31" s="1" t="s">
        <v>1193</v>
      </c>
      <c r="K31" s="1" t="s">
        <v>1194</v>
      </c>
      <c r="L31" s="1" t="s">
        <v>1195</v>
      </c>
      <c r="M31" s="1" t="s">
        <v>1196</v>
      </c>
      <c r="N31" s="1" t="s">
        <v>903</v>
      </c>
      <c r="O31" s="1" t="s">
        <v>1197</v>
      </c>
      <c r="P31" s="1" t="s">
        <v>1198</v>
      </c>
      <c r="Q31" s="1" t="s">
        <v>212</v>
      </c>
      <c r="R31" s="1" t="s">
        <v>1199</v>
      </c>
      <c r="S31" s="1" t="s">
        <v>1200</v>
      </c>
      <c r="T31" s="1">
        <v>2</v>
      </c>
      <c r="U31" s="1">
        <v>2</v>
      </c>
      <c r="V31" s="1">
        <v>1</v>
      </c>
      <c r="W31" s="1">
        <v>1</v>
      </c>
      <c r="X31" s="1">
        <v>0</v>
      </c>
      <c r="Y31" s="1">
        <v>1</v>
      </c>
      <c r="Z31" s="1">
        <v>2</v>
      </c>
      <c r="AA31" s="1" t="s">
        <v>1201</v>
      </c>
      <c r="AB31" s="1">
        <v>9</v>
      </c>
      <c r="AC31" s="1" t="s">
        <v>1202</v>
      </c>
      <c r="AD31" s="1" t="s">
        <v>1203</v>
      </c>
    </row>
    <row r="32" ht="87.94999694824219" customHeight="1">
      <c r="A32" s="1" t="s">
        <v>800</v>
      </c>
      <c r="B32" s="1" t="s">
        <v>801</v>
      </c>
      <c r="C32" s="1" t="s">
        <v>802</v>
      </c>
      <c r="D32" s="1" t="s">
        <v>1204</v>
      </c>
      <c r="E32" s="1" t="s">
        <v>1205</v>
      </c>
      <c r="F32" s="1" t="s">
        <v>1206</v>
      </c>
      <c r="G32" s="1" t="s">
        <v>1207</v>
      </c>
      <c r="H32" s="1" t="s">
        <v>927</v>
      </c>
      <c r="I32" s="1" t="s">
        <v>1004</v>
      </c>
      <c r="J32" s="1" t="s">
        <v>1208</v>
      </c>
      <c r="K32" s="1" t="s">
        <v>1209</v>
      </c>
      <c r="L32" s="1" t="s">
        <v>1210</v>
      </c>
      <c r="M32" s="1" t="s">
        <v>1211</v>
      </c>
      <c r="N32" s="1" t="s">
        <v>903</v>
      </c>
      <c r="O32" s="1" t="s">
        <v>1212</v>
      </c>
      <c r="P32" s="1" t="s">
        <v>1213</v>
      </c>
      <c r="Q32" s="1" t="s">
        <v>1214</v>
      </c>
      <c r="R32" s="1" t="s">
        <v>1215</v>
      </c>
      <c r="S32" s="1" t="s">
        <v>1216</v>
      </c>
      <c r="T32" s="1">
        <v>2</v>
      </c>
      <c r="U32" s="1">
        <v>0</v>
      </c>
      <c r="V32" s="1">
        <v>1</v>
      </c>
      <c r="W32" s="1">
        <v>1</v>
      </c>
      <c r="X32" s="1">
        <v>0</v>
      </c>
      <c r="Y32" s="1">
        <v>1</v>
      </c>
      <c r="Z32" s="1">
        <v>1</v>
      </c>
      <c r="AA32" s="1" t="s">
        <v>1217</v>
      </c>
      <c r="AB32" s="1">
        <v>6</v>
      </c>
      <c r="AC32" s="1" t="s">
        <v>1218</v>
      </c>
      <c r="AD32" s="1" t="s">
        <v>1219</v>
      </c>
    </row>
    <row r="33" ht="87.94999694824219" customHeight="1">
      <c r="A33" s="1" t="s">
        <v>806</v>
      </c>
      <c r="B33" s="1" t="s">
        <v>807</v>
      </c>
      <c r="C33" s="1" t="s">
        <v>808</v>
      </c>
      <c r="D33" s="1" t="s">
        <v>1220</v>
      </c>
      <c r="E33" s="1" t="s">
        <v>1221</v>
      </c>
      <c r="F33" s="1" t="s">
        <v>1222</v>
      </c>
      <c r="G33" s="1" t="s">
        <v>1223</v>
      </c>
      <c r="H33" s="1" t="s">
        <v>1224</v>
      </c>
      <c r="I33" s="1" t="s">
        <v>1004</v>
      </c>
      <c r="J33" s="1" t="s">
        <v>1225</v>
      </c>
      <c r="K33" s="1" t="s">
        <v>1226</v>
      </c>
      <c r="L33" s="1" t="s">
        <v>1227</v>
      </c>
      <c r="M33" s="1" t="s">
        <v>1228</v>
      </c>
      <c r="N33" s="1" t="s">
        <v>903</v>
      </c>
      <c r="O33" s="1" t="s">
        <v>1229</v>
      </c>
      <c r="P33" s="1" t="s">
        <v>1230</v>
      </c>
      <c r="Q33" s="1" t="s">
        <v>1231</v>
      </c>
      <c r="R33" s="1" t="s">
        <v>1232</v>
      </c>
      <c r="S33" s="1" t="s">
        <v>1233</v>
      </c>
      <c r="T33" s="1">
        <v>2</v>
      </c>
      <c r="U33" s="1">
        <v>0</v>
      </c>
      <c r="V33" s="1">
        <v>1</v>
      </c>
      <c r="W33" s="1">
        <v>2</v>
      </c>
      <c r="X33" s="1">
        <v>1</v>
      </c>
      <c r="Y33" s="1">
        <v>1</v>
      </c>
      <c r="Z33" s="1">
        <v>0</v>
      </c>
      <c r="AA33" s="1" t="s">
        <v>1234</v>
      </c>
      <c r="AB33" s="1">
        <v>7</v>
      </c>
      <c r="AC33" s="1" t="s">
        <v>1235</v>
      </c>
      <c r="AD33" s="1" t="s">
        <v>1236</v>
      </c>
    </row>
  </sheetData>
  <pageMargins left="0.7" right="0.7" top="0.75" bottom="0.75" header="0.3" footer="0.3"/>
</worksheet>
</file>

<file path=xl/worksheets/sheet7.xml><?xml version="1.0" encoding="utf-8"?>
<x:worksheet xmlns:x="http://schemas.openxmlformats.org/spreadsheetml/2006/main">
  <x:sheetFormatPr defaultRowHeight="14.25"/>
  <x:cols>
    <x:col min="1" max="1" width="34" customWidth="1"/>
    <x:col min="2" max="2" width="70" customWidth="1"/>
    <x:col min="3" max="3" width="100" customWidth="1"/>
    <x:col min="4" max="4" width="90" customWidth="1"/>
  </x:cols>
  <x:sheetData>
    <x:row r="1" ht="32.099998474121094" customHeight="1">
      <x:c r="A1" s="2" t="str">
        <x:v>domain</x:v>
      </x:c>
      <x:c r="B1" s="2" t="str">
        <x:v>operational_purpose</x:v>
      </x:c>
      <x:c r="C1" s="2" t="str">
        <x:v>score_mapping</x:v>
      </x:c>
      <x:c r="D1" s="2" t="str">
        <x:v>source_fields</x:v>
      </x:c>
    </x:row>
    <x:row r="2" ht="75.94999694824219" customHeight="1">
      <x:c r="A2" s="1" t="str">
        <x:v>Ground-truth provenance</x:v>
      </x:c>
      <x:c r="B2" s="1" t="str">
        <x:v>Role- and task-appropriate reference validity and independence</x:v>
      </x:c>
      <x:c r="C2" s="1" t="str">
        <x:v>2=manual/registry/multi-source confirmation; 1=traceable secondary dataset or threat intelligence; 0=NR/unclear</x:v>
      </x:c>
      <x:c r="D2" s="1" t="str">
        <x:v>label_ground_truth_source; label_ground_truth_notes</x:v>
      </x:c>
    </x:row>
    <x:row r="3" ht="75.94999694824219" customHeight="1">
      <x:c r="A3" s="1" t="str">
        <x:v>Temporal/contamination control</x:v>
      </x:c>
      <x:c r="B3" s="1" t="str">
        <x:v>Independence of development or construction and evaluation for the stated task</x:v>
      </x:c>
      <x:c r="C3" s="1" t="str">
        <x:v>2=Low; 1=Medium; 0=High/Unclear/NR</x:v>
      </x:c>
      <x:c r="D3" s="1" t="str">
        <x:v>temporal_split; data_timerange; train_test_contamination_risk; contamination_notes</x:v>
      </x:c>
    </x:row>
    <x:row r="4" ht="75.94999694824219" customHeight="1">
      <x:c r="A4" s="1" t="str">
        <x:v>Model identifiability</x:v>
      </x:c>
      <x:c r="B4" s="1" t="str">
        <x:v>Reconstruction under model-version drift</x:v>
      </x:c>
      <x:c r="C4" s="1" t="str">
        <x:v>2=named model with usable version/snapshot; 1=model family named but snapshot incomplete; 0=central model unavailable</x:v>
      </x:c>
      <x:c r="D4" s="1" t="str">
        <x:v>model_snapshot; prompt_seed_reported</x:v>
      </x:c>
    </x:row>
    <x:row r="5" ht="75.94999694824219" customHeight="1">
      <x:c r="A5" s="1" t="str">
        <x:v>Outcome reporting</x:v>
      </x:c>
      <x:c r="B5" s="1" t="str">
        <x:v>Reconstructability of task-appropriate denominators, errors, failures, or resource/analysis outcomes</x:v>
      </x:c>
      <x:c r="C5" s="1" t="str">
        <x:v>2=complete task-appropriate cells or equivalent outcomes; 1=partial/aggregate outcomes; 0=missing/unclear</x:v>
      </x:c>
      <x:c r="D5" s="1" t="str">
        <x:v>confusion_matrix_complete</x:v>
      </x:c>
    </x:row>
    <x:row r="6" ht="75.94999694824219" customHeight="1">
      <x:c r="A6" s="1" t="str">
        <x:v>Uncertainty/repetition</x:v>
      </x:c>
      <x:c r="B6" s="1" t="str">
        <x:v>Stability of reported generative-model outputs or generated artifacts</x:v>
      </x:c>
      <x:c r="C6" s="1" t="str">
        <x:v>2=both uncertainty and independent repetition; 1=either; 0=neither</x:v>
      </x:c>
      <x:c r="D6" s="1" t="str">
        <x:v>ci_or_variance_reported; repetition_reported</x:v>
      </x:c>
    </x:row>
    <x:row r="7" ht="75.94999694824219" customHeight="1">
      <x:c r="A7" s="1" t="str">
        <x:v>Component isolation</x:v>
      </x:c>
      <x:c r="B7" s="1" t="str">
        <x:v>Attribution of the focal LLM-mediated component within the stated role and task</x:v>
      </x:c>
      <x:c r="C7" s="1" t="str">
        <x:v>2=matched addition/removal or functionally comparable replacement with evaluation data and non-target pipeline fixed; 1=within-component configuration comparison or component/architecture comparison with residual confounding; 0=None/NR</x:v>
      </x:c>
      <x:c r="D7" s="1" t="str">
        <x:v>ablation_type; ablation_detail</x:v>
      </x:c>
    </x:row>
    <x:row r="8" ht="75.94999694824219" customHeight="1">
      <x:c r="A8" s="1" t="str">
        <x:v>Reproducibility</x:v>
      </x:c>
      <x:c r="B8" s="1" t="str">
        <x:v>Independent verification using released materials</x:v>
      </x:c>
      <x:c r="C8" s="1" t="str">
        <x:v>2=public code plus data/replication materials; 1=partial/code/data/on-request; 0=None/NR</x:v>
      </x:c>
      <x:c r="D8" s="1" t="str">
        <x:v>reproducibility_materials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25" customWidth="1"/>
    <x:col min="2" max="3" width="95" customWidth="1"/>
    <x:col min="4" max="4" width="85" customWidth="1"/>
  </x:cols>
  <x:sheetData>
    <x:row r="1" ht="32.099998474121094" customHeight="1">
      <x:c r="A1" s="2" t="s">
        <x:v>1237</x:v>
      </x:c>
      <x:c r="B1" s="2" t="s">
        <x:v>1238</x:v>
      </x:c>
      <x:c r="C1" s="2" t="s">
        <x:v>1239</x:v>
      </x:c>
      <x:c r="D1" s="2" t="s">
        <x:v>1240</x:v>
      </x:c>
    </x:row>
    <x:row r="2" ht="75.94999694824219" customHeight="1">
      <x:c r="A2" s="1" t="s">
        <x:v>588</x:v>
      </x:c>
      <x:c r="B2" s="1" t="s">
        <x:v>1241</x:v>
      </x:c>
      <x:c r="C2" s="1" t="s">
        <x:v>1242</x:v>
      </x:c>
      <x:c r="D2" s="1" t="s">
        <x:v>1243</x:v>
      </x:c>
    </x:row>
    <x:row r="3" ht="75.94999694824219" customHeight="1">
      <x:c r="A3" s="1" t="s">
        <x:v>640</x:v>
      </x:c>
      <x:c r="B3" s="1" t="s">
        <x:v>1244</x:v>
      </x:c>
      <x:c r="C3" s="1" t="s">
        <x:v>1245</x:v>
      </x:c>
      <x:c r="D3" s="1" t="s">
        <x:v>1246</x:v>
      </x:c>
    </x:row>
    <x:row r="4" ht="75.94999694824219" customHeight="1">
      <x:c r="A4" s="1" t="s">
        <x:v>762</x:v>
      </x:c>
      <x:c r="B4" s="1" t="s">
        <x:v>1247</x:v>
      </x:c>
      <x:c r="C4" s="1" t="s">
        <x:v>1248</x:v>
      </x:c>
      <x:c r="D4" s="1" t="s">
        <x:v>1249</x:v>
      </x:c>
    </x:row>
    <x:row r="5" ht="75.94999694824219" customHeight="1">
      <x:c r="A5" s="1" t="s">
        <x:v>1250</x:v>
      </x:c>
      <x:c r="B5" s="1" t="s">
        <x:v>1251</x:v>
      </x:c>
      <x:c r="C5" s="1" t="s">
        <x:v>1252</x:v>
      </x:c>
      <x:c r="D5" s="1" t="s">
        <x:v>1253</x:v>
      </x:c>
    </x:row>
  </x:sheetData>
  <x:pageMargins left="0.7" right="0.7" top="0.75" bottom="0.75" header="0.3" footer="0.3"/>
</x:worksheet>
</file>

<file path=xl/worksheets/sheet9.xml><?xml version="1.0" encoding="utf-8"?>
<worksheet xmlns="http://schemas.openxmlformats.org/spreadsheetml/2006/main">
  <sheetFormatPr defaultRowHeight="14.25"/>
  <cols>
    <col min="1" max="1" width="12" customWidth="1"/>
    <col min="2" max="2" width="75" customWidth="1"/>
    <col min="3" max="3" width="42" customWidth="1"/>
    <col min="4" max="4" width="28" customWidth="1"/>
    <col min="5" max="5" width="100" customWidth="1"/>
    <col min="6" max="6" width="60" customWidth="1"/>
    <col min="7" max="7" width="75" customWidth="1"/>
    <col min="8" max="8" width="24" customWidth="1"/>
    <col min="9" max="10" width="90" customWidth="1"/>
    <col min="11" max="11" width="95" customWidth="1"/>
    <col min="12" max="12" width="50" customWidth="1"/>
    <col min="13" max="13" width="45" customWidth="1"/>
    <col min="14" max="14" width="25" customWidth="1"/>
    <col min="15" max="15" width="70" customWidth="1"/>
    <col min="16" max="16" width="100" customWidth="1"/>
  </cols>
  <sheetData>
    <row r="1" ht="32.099998474121094" customHeight="1">
      <c r="A1" s="2" t="str">
        <v>claim_id</v>
      </c>
      <c r="B1" s="2" t="str">
        <v>claim_text</v>
      </c>
      <c r="C1" s="2" t="str">
        <v>claim_source</v>
      </c>
      <c r="D1" s="2" t="str">
        <v>claim_type</v>
      </c>
      <c r="E1" s="2" t="str">
        <v>supporting_studies</v>
      </c>
      <c r="F1" s="2" t="str">
        <v>counterexample_studies</v>
      </c>
      <c r="G1" s="2" t="str">
        <v>neutral_or_irrelevant_studies</v>
      </c>
      <c r="H1" s="2" t="str">
        <v>evidence_grade</v>
      </c>
      <c r="I1" s="2" t="str">
        <v>confounding_factors</v>
      </c>
      <c r="J1" s="2" t="str">
        <v>alternative_interpretation</v>
      </c>
      <c r="K1" s="2" t="str">
        <v>recommended_hedging</v>
      </c>
      <c r="L1" s="2" t="str">
        <v>baseline_scenario</v>
      </c>
      <c r="M1" s="2" t="str">
        <v>baseline_direction</v>
      </c>
      <c r="N1" s="2" t="str">
        <v>robust_across_all_scenarios</v>
      </c>
      <c r="O1" s="2" t="str">
        <v>directions_observed</v>
      </c>
      <c r="P1" s="2" t="str">
        <v>breakpoint_scenarios</v>
      </c>
    </row>
    <row r="2" ht="99.94999694824219" customHeight="1">
      <c r="A2" s="1" t="str">
        <v>C1</v>
      </c>
      <c r="B2" s="1" t="str">
        <v>Evidence selection or representation materially affects feasibility, analyzable coverage, or measured detection performance in the evaluated settings</v>
      </c>
      <c r="C2" s="1" t="str">
        <v>Sections 5.1 and 8.4; Conclusion</v>
      </c>
      <c r="D2" s="1" t="str">
        <v>Cross-study synthesis</v>
      </c>
      <c r="E2" s="1" t="str">
        <v>Four studies map input selection or representation to feasibility, coverage, or measured performance. S_R001 reduces CodeQL-flagged files by 77.9%. S_R002 reduces mean smart-diff input by 95.4% and places 98.5% of updates within context. S_R004 holds DeepSeek-Coder-6.7B fixed: accuracy is 75.41% with naive splitting and 87.04% with taint-based slicing, but 44% of malicious and 67% of benign packages have empty slices. S_R037 holds DeepSeek-V3 fixed: mean F1 is 93.1% for the full system and 91.2% without hybrid slicing; it also reduces token use by 94.0% and reported cost from $86.25 to $5.19 on 2,168 repositories.</v>
      </c>
      <c r="F2" s="1"/>
      <c r="G2" s="1" t="str">
        <v>Studies that do not vary input selection or representation are neutral.</v>
      </c>
      <c r="H2" s="1"/>
      <c r="I2" s="1" t="str">
        <v>Feasibility units differ across files, tokens, context coverage, excluded packages, and cost. S_R004 excludes packages with empty slices; tasks, languages, representations, and evaluation datasets differ across the two fixed-adjudicator comparisons.</v>
      </c>
      <c r="J2" s="1" t="str">
        <v>Compression can improve tractability while reducing analyzable coverage; performance effects may be representation- and task-specific rather than general accuracy gains.</v>
      </c>
      <c r="K2" s="1" t="str">
        <v>Four studies report material feasibility or coverage changes, and two fixed-adjudicator comparisons report task-specific performance changes. These results do not establish a general accuracy benefit from evidence compression or representation choice.</v>
      </c>
      <c r="L2" s="1" t="str">
        <v>moderate__equal__all_reports__protocol</v>
      </c>
      <c r="M2" s="1" t="str">
        <v>mapped_support_present</v>
      </c>
      <c r="N2" s="1" t="str">
        <v>NO</v>
      </c>
      <c r="O2" s="1" t="str">
        <v>mapped_support_present; no_mapped_support</v>
      </c>
      <c r="P2" s="1" t="str">
        <v>strict__causal_rigor__all_reports__no_collapse; strict__causal_rigor__all_reports__protocol; strict__causal_rigor__all_reports__maximal_plausible; strict__causal_rigor__peer_reviewed_or_accepted__no_collapse; strict__causal_rigor__peer_reviewed_or_accepted__protocol; strict__causal_rigor__peer_reviewed_or_accepted__maximal_plausible; strict__reporting_reproducibility__all_reports__no_collapse; strict__reporting_reproducibility__all_reports__protocol; strict__reporting_reproducibility__all_reports__maximal_plausible; strict__reporting_reproducibility__peer_reviewed_or_accepted__no_collapse; strict__reporting_reproducibility__peer_reviewed_or_accepted__protocol; strict__reporting_reproducibility__peer_reviewed_or_accepted__maximal_plausible</v>
      </c>
    </row>
    <row r="3" ht="99.94999694824219" customHeight="1">
      <c r="A3" s="1" t="str">
        <v>C2</v>
      </c>
      <c r="B3" s="1" t="str">
        <v>Retrieval or knowledge comparisons are mixed overall and weighting-sensitive under strict evidence specifications</v>
      </c>
      <c r="C3" s="1" t="str">
        <v>Sections 4.2, 7.1, and 8.4; Conclusion</v>
      </c>
      <c r="D3" s="1" t="str">
        <v>Cross-study synthesis</v>
      </c>
      <c r="E3" s="1" t="str">
        <v>S_RAG_EVAL reports that three retrieved knowledge sources do not outperform its strongest zero-shot baseline. S_R010, S_R012, S_R019, and S_R029 report positive directions under non-equivalent models, sources, tasks, or separation controls. In S_R029, removing on-demand third-party enrichment leaves dynamic augmentation available as a fallback, so the comparison is not an isolated knowledge effect.</v>
      </c>
      <c r="F3" s="1"/>
      <c r="G3" s="1" t="str">
        <v>Studies without an explicit retrieval or knowledge component are not evidence for or against RAG.</v>
      </c>
      <c r="H3" s="1"/>
      <c r="I3" s="1" t="str">
        <v>Retriever quality, knowledge source, model, prompt, corpus/test overlap, baseline strength, and fallback behavior differ across studies. RAG Eval's strongest zero-shot and RAG conditions do not use the same model; ProfMalPlus retains dynamic augmentation when on-demand enrichment is removed.</v>
      </c>
      <c r="J3" s="1" t="str">
        <v>Retrieval or knowledge resources may benefit selected pipelines, but the heterogeneous comparisons neither identify effect modifiers nor support a generalizable common effect estimate.</v>
      </c>
      <c r="K3" s="1" t="str">
        <v>Five mapped comparisons are mixed overall. Under strict evidence thresholds, the retained direction depends on domain weighting; models, knowledge sources, tasks, and separation controls remain non-equivalent.</v>
      </c>
      <c r="L3" s="1" t="str">
        <v>moderate__equal__all_reports__protocol</v>
      </c>
      <c r="M3" s="1" t="str">
        <v>mixed_positive_and_nonpositive</v>
      </c>
      <c r="N3" s="1" t="str">
        <v>NO</v>
      </c>
      <c r="O3" s="1" t="str">
        <v>mixed_positive_and_nonpositive; no_mapped_support; positive_only</v>
      </c>
      <c r="P3" s="1" t="str">
        <v>strict__equal__all_reports__no_collapse; strict__equal__all_reports__protocol; strict__equal__all_reports__maximal_plausible; strict__equal__peer_reviewed_or_accepted__no_collapse; strict__equal__peer_reviewed_or_accepted__protocol; strict__equal__peer_reviewed_or_accepted__maximal_plausible; strict__core_validity__all_reports__no_collapse; strict__core_validity__all_reports__protocol; strict__core_validity__all_reports__maximal_plausible; strict__core_validity__peer_reviewed_or_accepted__no_collapse; strict__core_validity__peer_reviewed_or_accepted__protocol; strict__core_validity__peer_reviewed_or_accepted__maximal_plausible; strict__causal_rigor__all_reports__no_collapse; strict__causal_rigor__all_reports__protocol; strict__causal_rigor__all_reports__maximal_plausible; strict__causal_rigor__peer_reviewed_or_accepted__no_collapse; strict__causal_rigor__peer_reviewed_or_accepted__protocol; strict__causal_rigor__peer_reviewed_or_accepted__maximal_plausible; strict__reporting_reproducibility__all_reports__no_collapse; strict__reporting_reproducibility__all_reports__protocol; strict__reporting_reproducibility__all_reports__maximal_plausible; strict__reporting_reproducibility__peer_reviewed_or_accepted__no_collapse; strict__reporting_reproducibility__peer_reviewed_or_accepted__protocol; strict__reporting_reproducibility__peer_reviewed_or_accepted__maximal_plausible</v>
      </c>
    </row>
    <row r="4" ht="99.94999694824219" customHeight="1">
      <c r="A4" s="1" t="str">
        <v>C3</v>
      </c>
      <c r="B4" s="1" t="str">
        <v>Constructor evidence supports complete artifact pipelines more strongly than an isolated causal advantage of LLM-based construction</v>
      </c>
      <c r="C4" s="1" t="str">
        <v>Sections 6.1–6.4 and 8.4; Conclusion</v>
      </c>
      <c r="D4" s="1" t="str">
        <v>Direct role-specific corpus audit</v>
      </c>
      <c r="E4" s="1" t="s">
        <v>1260</v>
      </c>
      <c r="F4" s="1" t="s">
        <v>1261</v>
      </c>
      <c r="G4" s="1" t="str">
        <v>Adjudicator and Orchestrator studies are outside this role-specific audit.</v>
      </c>
      <c r="H4" s="1"/>
      <c r="I4" s="1" t="str">
        <v>A fair constructor comparison must hold the input data, artifact type or interface, downstream training and evaluation, and other non-target pipeline elements fixed. Differences in generated content are part of the intervention; differences in information budget, downstream capacity, or construction–evaluation overlap can still confound attribution.</v>
      </c>
      <c r="J4" s="1" t="str">
        <v>Some task-specific component effects are supported, but the evidence does not identify a general LLM-constructor advantage.</v>
      </c>
      <c r="K4" s="1" t="s">
        <v>1262</v>
      </c>
      <c r="L4" s="1"/>
      <c r="M4" s="1"/>
      <c r="N4" s="1"/>
      <c r="O4" s="1"/>
      <c r="P4" s="1"/>
    </row>
    <row r="5" ht="99.94999694824219" customHeight="1">
      <c r="A5" s="1" t="str">
        <v>C4</v>
      </c>
      <c r="B5" s="1" t="str">
        <v>Reported multi-agent advantages do not isolate the causal effect of coordination</v>
      </c>
      <c r="C5" s="1" t="str">
        <v>Sections 7.1–7.3 and 8.4; Conclusion</v>
      </c>
      <c r="D5" s="1" t="str">
        <v>Direct corpus-level design audit</v>
      </c>
      <c r="E5" s="1" t="str">
        <v>The five clearly multi-agent systems are S_CHASE, S_LAMPS, S_MA_MPD, S_R024, and S_R029. None varies coordination while holding model, tools, evidence, retries, evaluated cases, and inference budget fixed.</v>
      </c>
      <c r="F5" s="1"/>
      <c r="G5" s="1" t="str">
        <v>SocketAI is iterative self-refinement, and PYPILINE is a single tool-enabled LLM agent; neither should be counted as a multi-agent architecture.</v>
      </c>
      <c r="H5" s="1"/>
      <c r="I5" s="1" t="str">
        <v>Agent count is confounded with model sizes, tool access, decomposition, retries, context-window avoidance, and total inference budget.</v>
      </c>
      <c r="J5" s="1" t="str">
        <v>Observed gains may come from decomposition or additional compute rather than agent identity or coordination itself.</v>
      </c>
      <c r="K5" s="1" t="str">
        <v>Five studies implement clearly multi-agent architectures, but none provides a same-model, same-tool, equal-budget comparison that isolates coordination. This is a direct corpus-level design audit, not a sensitivity result.</v>
      </c>
      <c r="L5" s="1"/>
      <c r="M5" s="1"/>
      <c r="N5" s="1"/>
      <c r="O5" s="1"/>
      <c r="P5" s="1"/>
    </row>
    <row r="6" ht="99.94999694824219" customHeight="1">
      <c r="A6" s="1" t="str">
        <v>C5</v>
      </c>
      <c r="B6" s="1" t="str">
        <v>Current evidence is insufficient to infer a monotonic relationship between model parameter count and malicious-indicator detection performance</v>
      </c>
      <c r="C6" s="1" t="str">
        <v>Section 5.2</v>
      </c>
      <c r="D6" s="1" t="str">
        <v>Single-study secondary observation</v>
      </c>
      <c r="E6" s="1" t="str">
        <v>S_R003 reports a positive but non-significant parameter-size correlation across 12 models with known sizes (rho=0.431, p=0.16).</v>
      </c>
      <c r="F6" s="1"/>
      <c r="G6" s="1" t="str">
        <v>Most studies use one primary model or compare heterogeneous model families rather than a controlled parameter-scale series; S_SILVER_BULLET is heterogeneous and does not isolate parameter count.</v>
      </c>
      <c r="H6" s="1"/>
      <c r="I6" s="1" t="str">
        <v>Model family, training data, instruction tuning, context length, access type, and parameter count vary together.</v>
      </c>
      <c r="J6" s="1" t="str">
        <v>The evidence does not establish a monotonic relationship between model scale and detection performance. The parameter-size correlation is positive but not statistically significant (rho=0.431, p=0.16).</v>
      </c>
      <c r="K6" s="1" t="str">
        <v>In Mind the Gap, the parameter-size correlation across 12 models with known sizes is positive but not statistically significant (rho=0.431, p=0.16). This single-study observation does not establish a general scale relationship.</v>
      </c>
      <c r="L6" s="1"/>
      <c r="M6" s="1"/>
      <c r="N6" s="1"/>
      <c r="O6" s="1"/>
      <c r="P6" s="1"/>
    </row>
    <row r="7" ht="99.94999694824219" customHeight="1">
      <c r="A7" s="1" t="str">
        <v>C6</v>
      </c>
      <c r="B7" s="1" t="str">
        <v>Non-agent or hybrid baselines can retain practical value</v>
      </c>
      <c r="C7" s="1" t="str">
        <v>Sections 3.2, 6.4, and 8.3; Conclusion</v>
      </c>
      <c r="D7" s="1" t="str">
        <v>Cross-study synthesis</v>
      </c>
      <c r="E7" s="1" t="str">
        <v>S_MALGUARD_USENIX reports strong RF/XGBoost performance and sub-second online detection after offline feature construction. S_R013 uses a fixed RF after LLM-based feature generation. S_R015 emits deployable YARA/Semgrep rules. S_R039 uses an LLM-generated rule library with a fixed random-forest detector and reports 7.6 seconds per package in live monitoring.</v>
      </c>
      <c r="F7" s="1"/>
      <c r="G7" s="1" t="str">
        <v>PYGUARD's GPT-4.1-plus-knowledge results are not a non-LLM baseline and must not be used as such.</v>
      </c>
      <c r="H7" s="1"/>
      <c r="I7" s="1" t="str">
        <v>Low online cost can hide offline labeling, feature extraction, rule generation, manual validation, or maintenance costs. No study in the table is rated HIGH certainty.</v>
      </c>
      <c r="J7" s="1" t="str">
        <v>Non-agent and hybrid methods may be most valuable as high-throughput screening stages rather than universally superior final classifiers.</v>
      </c>
      <c r="K7" s="1" t="str">
        <v>Several non-agent or hybrid baselines retain practical value through fast inference, fixed rules/features, or reduced online LLM dependence. Their value is qualified by temporal degradation and by offline maintenance or LLM-assisted construction costs.</v>
      </c>
      <c r="L7" s="1"/>
      <c r="M7" s="1"/>
      <c r="N7" s="1"/>
      <c r="O7" s="1"/>
      <c r="P7" s="1"/>
    </row>
    <row r="8" ht="99.94999694824219" customHeight="1">
      <c r="A8" s="1" t="str">
        <v>C7</v>
      </c>
      <c r="B8" s="1" t="str">
        <v>High package-level scores on balanced datasets do not by themselves establish deployment readiness</v>
      </c>
      <c r="C8" s="1" t="str">
        <v>Sections 5.3, 7.2, 8.2–8.3, and 9; Conclusion</v>
      </c>
      <c r="D8" s="1" t="str">
        <v>Evaluation methodology</v>
      </c>
      <c r="E8" s="1" t="str">
        <v>S_R003 reports a package-to-indicator granularity gap. S_R033 reports temporal degradation. S_CHASE reports 272.68 seconds median time per package. S_R029 reports 715 alerts among 107,287 packages, with 597 confirmed. S_R039 reports 1,676 alerts among 107,802 packages, with 152 confirmed in the initial deployment setting; incremental training raises precision but misses 20 confirmed malicious packages. S_R038 relies on a balanced corpus and random cross-validation, whereas S_R037 adds a 120,000-repository study.</v>
      </c>
      <c r="F8" s="1"/>
      <c r="G8" s="1" t="str">
        <v>S_LAMPS (LAMPS) reports F1=0.572 only in the constrained RQ3 architecture comparison; the full D2 class-level result is much higher and must not be used as evidence of a generic balanced-to-imbalanced collapse.</v>
      </c>
      <c r="H8" s="1"/>
      <c r="I8" s="1" t="str">
        <v>Live validations use different confirmation standards, windows, prevalence, thresholds, and retraining policies. Balanced-corpus scores and alert-level precision are not directly comparable.</v>
      </c>
      <c r="J8" s="1" t="str">
        <v>High laboratory scores are necessary but not sufficient; deployment readiness also depends on throughput, prevalence, temporal robustness, label confirmation, and analyst burden.</v>
      </c>
      <c r="K8" s="1" t="str">
        <v>High package-level scores alone do not establish deployment readiness. The core studies additionally expose granularity, temporal, throughput, and alert-confirmation limitations, although several systems do report partial or full live validation.</v>
      </c>
      <c r="L8" s="1"/>
      <c r="M8" s="1"/>
      <c r="N8" s="1"/>
      <c r="O8" s="1"/>
      <c r="P8" s="1"/>
    </row>
    <row r="9" ht="99.94999694824219" customHeight="1">
      <c r="A9" s="1" t="str">
        <v>C8</v>
      </c>
      <c r="B9" s="1" t="str">
        <v>In Mind the Gap, prompt strategy is associated with large binary-detection F1 variation and a statistically significant but negligible indicator-identification effect</v>
      </c>
      <c r="C9" s="1" t="str">
        <v>Section 5.2</v>
      </c>
      <c r="D9" s="1" t="str">
        <v>Single-study (Mind the Gap)</v>
      </c>
      <c r="E9" s="1" t="str">
        <v>S_R003 reports binary-detection aggregated F1 values of 0.74, 0.23, 0.58, 0.58, and 0.67 across five prompt strategies, a range of 0.51. For indicator identification, the prompt-strategy difference is statistically significant (p&lt;0.0001) but has negligible effect size (eta-squared=0.0086).</v>
      </c>
      <c r="F9" s="1"/>
      <c r="G9" s="1" t="str">
        <v>Other papers use prompt components but do not reproduce the same 13-model, five-strategy indicator-identification analysis.</v>
      </c>
      <c r="H9" s="1"/>
      <c r="I9" s="1" t="str">
        <v>Single study, PyPI-specific tasks, one proprietary and 12 open models, and no independent repetitions per configuration.</v>
      </c>
      <c r="J9" s="1" t="str">
        <v>The large binary spread may depend on this dataset and prompt implementation rather than prompt strategy in general.</v>
      </c>
      <c r="K9" s="1" t="str">
        <v>In Mind the Gap, aggregated binary-detection F1 spans 0.23-0.74 across five prompt strategies (range 0.51). For indicator identification, prompt strategy is statistically significant (p&lt;0.0001) but practically negligible (eta-squared=0.0086). This single-study result requires replication.</v>
      </c>
      <c r="L9" s="1"/>
      <c r="M9" s="1"/>
      <c r="N9" s="1"/>
      <c r="O9" s="1"/>
      <c r="P9" s="1"/>
    </row>
    <row r="10" ht="99.94999694824219" customHeight="1">
      <c r="A10" s="1" t="str">
        <v>C9</v>
      </c>
      <c r="B10" s="1" t="str">
        <v>In Mind the Gap, coder-specialized models outperform the compared general-purpose models at indicator identification</v>
      </c>
      <c r="C10" s="1" t="str">
        <v>Section 5.3</v>
      </c>
      <c r="D10" s="1" t="str">
        <v>Single-study (Mind the Gap)</v>
      </c>
      <c r="E10" s="1" t="str">
        <v>S_R003 reports weighted F1 of 0.51 for two coder-specialized models versus 0.41 for eleven general-purpose models on indicator identification; the direction reverses for binary detection (0.51 versus 0.59).</v>
      </c>
      <c r="F10" s="1"/>
      <c r="G10" s="1" t="str">
        <v>Studies without coder/general model comparisons are neutral.</v>
      </c>
      <c r="H10" s="1"/>
      <c r="I10" s="1" t="str">
        <v>Only two coder models are compared with eleven general models, with architecture, training data, and context length varying together.</v>
      </c>
      <c r="J10" s="1" t="str">
        <v>The result may reflect task-model interaction or the particular training of Devstral and Qwen Coder rather than code specialization as a general causal factor.</v>
      </c>
      <c r="K10" s="1" t="str">
        <v>Mind the Gap reports higher indicator-identification F1 for its two coder-specialized models than for eleven general-purpose models (0.51 versus 0.41), while the direction reverses for binary detection. The finding is task-specific and based on one study.</v>
      </c>
      <c r="L10" s="1"/>
      <c r="M10" s="1"/>
      <c r="N10" s="1"/>
      <c r="O10" s="1"/>
      <c r="P10" s="1"/>
    </row>
    <row r="11" ht="99.94999694824219" customHeight="1">
      <c r="A11" s="1" t="str">
        <v>C10</v>
      </c>
      <c r="B11" s="1" t="str">
        <v>In Mind the Gap, lines of code are weakly negatively associated with malicious-indicator identification performance</v>
      </c>
      <c r="C11" s="1" t="str">
        <v>Section 5.2</v>
      </c>
      <c r="D11" s="1" t="str">
        <v>Single-study (Mind the Gap)</v>
      </c>
      <c r="E11" s="1" t="str">
        <v>S_R003 reports rho=-0.26, p&lt;0.0001 between LOC and indicator-identification F1. Reported mean F1 is 0.47 for small, 0.49 for medium, and 0.38 for large packages.</v>
      </c>
      <c r="F11" s="1"/>
      <c r="G11" s="1" t="str">
        <v>Other studies report size/context limitations qualitatively but do not reproduce this correlation analysis.</v>
      </c>
      <c r="H11" s="1"/>
      <c r="I11" s="1" t="str">
        <v>Single-study evidence and LOC is a coarse proxy for complexity; package size, indicator count, and information dilution may covary.</v>
      </c>
      <c r="J11" s="1" t="str">
        <v>The relationship may be caused by more indicators or greater evidence dilution in larger packages rather than structural complexity itself.</v>
      </c>
      <c r="K11" s="1" t="str">
        <v>Mind the Gap reports a small but statistically significant negative association between lines of code and indicator-identification F1 (rho=-0.26, p&lt;0.0001). This single-study result does not establish a corpus-wide complexity effect.</v>
      </c>
      <c r="L11" s="1"/>
      <c r="M11" s="1"/>
      <c r="N11" s="1"/>
      <c r="O11" s="1"/>
      <c r="P11" s="1"/>
    </row>
    <row r="12" ht="99.75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FormatPr defaultRowHeight="14.25"/>
  <cols>
    <col min="1" max="1" width="58" customWidth="1"/>
    <col min="2" max="4" width="16" customWidth="1"/>
    <col min="5" max="5" width="30" customWidth="1"/>
    <col min="6" max="6" width="36" customWidth="1"/>
    <col min="7" max="7" width="20" customWidth="1"/>
    <col min="8" max="8" width="28" customWidth="1"/>
    <col min="9" max="10" width="16" customWidth="1"/>
    <col min="11" max="12" width="18" customWidth="1"/>
    <col min="13" max="13" width="30" customWidth="1"/>
    <col min="14" max="15" width="110" customWidth="1"/>
  </cols>
  <sheetData>
    <row r="1" ht="32.099998474121094" customHeight="1">
      <c r="A1" s="2" t="str">
        <v>scenario_id</v>
      </c>
      <c r="B1" s="2" t="str">
        <v>threshold</v>
      </c>
      <c r="C1" s="2" t="str">
        <v>threshold_fraction</v>
      </c>
      <c r="D1" s="2" t="str">
        <v>weight_scheme</v>
      </c>
      <c r="E1" s="2" t="str">
        <v>weights</v>
      </c>
      <c r="F1" s="2" t="str">
        <v>publication_subset</v>
      </c>
      <c r="G1" s="2" t="str">
        <v>family_partition</v>
      </c>
      <c r="H1" s="2" t="str">
        <v>family_count</v>
      </c>
      <c r="I1" s="2" t="str">
        <v>retained_study_count</v>
      </c>
      <c r="J1" s="2" t="str">
        <v>excluded_study_count</v>
      </c>
      <c r="K1" s="2" t="str">
        <v>retained_study_ids</v>
      </c>
      <c r="L1" s="2" t="str">
        <v>excluded_study_ids</v>
      </c>
      <c r="M1" s="2" t="str">
        <v>claim_scope</v>
      </c>
      <c r="N1" s="2" t="str">
        <v>publication_filter_rule</v>
      </c>
      <c r="O1" s="2" t="str">
        <v>notes</v>
      </c>
    </row>
    <row r="2" ht="74.0999984741211" customHeight="1">
      <c r="A2" s="1" t="str">
        <v>lenient__equal__all_reports__no_collapse</v>
      </c>
      <c r="B2" s="1" t="str">
        <v>lenient</v>
      </c>
      <c r="C2" s="1" t="n">
        <v>0.357143</v>
      </c>
      <c r="D2" s="1" t="str">
        <v>equal</v>
      </c>
      <c r="E2" s="1" t="str">
        <v>G=1; T=1; M=1; O=1; U=1; A=1; R=1</v>
      </c>
      <c r="F2" s="1" t="str">
        <v>all_reports</v>
      </c>
      <c r="G2" s="1" t="str">
        <v>no_collapse</v>
      </c>
      <c r="H2" s="1" t="n">
        <v>32</v>
      </c>
      <c r="I2" s="1" t="n">
        <v>31</v>
      </c>
      <c r="J2" s="1" t="n">
        <v>1</v>
      </c>
      <c r="K2" s="1" t="str">
        <v>S_CHASE, S_GENTTP, S_GRAPH_GUIDED, S_H2GLM, S_LAMPS, S_MALGUARD_DSC, S_MALGUARD_USENIX, S_MA_MPD, S_R001, S_R002, S_R003, S_R004, S_R005, S_R008, S_R010, S_R012, S_R013, S_R014, S_R015, S_R016, S_R017, S_R019, S_R024, S_R029, S_R032, S_R033, S_R037, S_R038, S_R039, S_RAG_EVAL, S_SILVER_BULLET</v>
      </c>
      <c r="L2" s="1" t="str">
        <v>S_R027</v>
      </c>
      <c r="M2" s="1" t="str">
        <v>C1; C2</v>
      </c>
      <c r="N2" s="1" t="str">
        <v>None</v>
      </c>
      <c r="O2" s="1" t="str">
        <v>Publication status does not contribute to method scores; family partition affects claim collapsing only.</v>
      </c>
    </row>
    <row r="3" ht="74.0999984741211" customHeight="1">
      <c r="A3" s="1" t="str">
        <v>lenient__equal__all_reports__protocol</v>
      </c>
      <c r="B3" s="1" t="str">
        <v>lenient</v>
      </c>
      <c r="C3" s="1" t="n">
        <v>0.357143</v>
      </c>
      <c r="D3" s="1" t="str">
        <v>equal</v>
      </c>
      <c r="E3" s="1" t="str">
        <v>G=1; T=1; M=1; O=1; U=1; A=1; R=1</v>
      </c>
      <c r="F3" s="1" t="str">
        <v>all_reports</v>
      </c>
      <c r="G3" s="1" t="str">
        <v>protocol</v>
      </c>
      <c r="H3" s="1" t="n">
        <v>30</v>
      </c>
      <c r="I3" s="1" t="n">
        <v>31</v>
      </c>
      <c r="J3" s="1" t="n">
        <v>1</v>
      </c>
      <c r="K3" s="1" t="str">
        <v>S_CHASE, S_GENTTP, S_GRAPH_GUIDED, S_H2GLM, S_LAMPS, S_MALGUARD_DSC, S_MALGUARD_USENIX, S_MA_MPD, S_R001, S_R002, S_R003, S_R004, S_R005, S_R008, S_R010, S_R012, S_R013, S_R014, S_R015, S_R016, S_R017, S_R019, S_R024, S_R029, S_R032, S_R033, S_R037, S_R038, S_R039, S_RAG_EVAL, S_SILVER_BULLET</v>
      </c>
      <c r="L3" s="1" t="str">
        <v>S_R027</v>
      </c>
      <c r="M3" s="1" t="str">
        <v>C1; C2</v>
      </c>
      <c r="N3" s="1" t="str">
        <v>None</v>
      </c>
      <c r="O3" s="1" t="str">
        <v>Publication status does not contribute to method scores; family partition affects claim collapsing only.</v>
      </c>
    </row>
    <row r="4" ht="74.0999984741211" customHeight="1">
      <c r="A4" s="1" t="str">
        <v>lenient__equal__all_reports__maximal_plausible</v>
      </c>
      <c r="B4" s="1" t="str">
        <v>lenient</v>
      </c>
      <c r="C4" s="1" t="n">
        <v>0.357143</v>
      </c>
      <c r="D4" s="1" t="str">
        <v>equal</v>
      </c>
      <c r="E4" s="1" t="str">
        <v>G=1; T=1; M=1; O=1; U=1; A=1; R=1</v>
      </c>
      <c r="F4" s="1" t="str">
        <v>all_reports</v>
      </c>
      <c r="G4" s="1" t="str">
        <v>maximal_plausible</v>
      </c>
      <c r="H4" s="1" t="n">
        <v>27</v>
      </c>
      <c r="I4" s="1" t="n">
        <v>31</v>
      </c>
      <c r="J4" s="1" t="n">
        <v>1</v>
      </c>
      <c r="K4" s="1" t="str">
        <v>S_CHASE, S_GENTTP, S_GRAPH_GUIDED, S_H2GLM, S_LAMPS, S_MALGUARD_DSC, S_MALGUARD_USENIX, S_MA_MPD, S_R001, S_R002, S_R003, S_R004, S_R005, S_R008, S_R010, S_R012, S_R013, S_R014, S_R015, S_R016, S_R017, S_R019, S_R024, S_R029, S_R032, S_R033, S_R037, S_R038, S_R039, S_RAG_EVAL, S_SILVER_BULLET</v>
      </c>
      <c r="L4" s="1" t="str">
        <v>S_R027</v>
      </c>
      <c r="M4" s="1" t="str">
        <v>C1; C2</v>
      </c>
      <c r="N4" s="1" t="str">
        <v>None</v>
      </c>
      <c r="O4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5" ht="74.0999984741211" customHeight="1">
      <c r="A5" s="1" t="str">
        <v>lenient__equal__peer_reviewed_or_accepted__no_collapse</v>
      </c>
      <c r="B5" s="1" t="str">
        <v>lenient</v>
      </c>
      <c r="C5" s="1" t="n">
        <v>0.357143</v>
      </c>
      <c r="D5" s="1" t="str">
        <v>equal</v>
      </c>
      <c r="E5" s="1" t="str">
        <v>G=1; T=1; M=1; O=1; U=1; A=1; R=1</v>
      </c>
      <c r="F5" s="1" t="str">
        <v>peer_reviewed_or_accepted</v>
      </c>
      <c r="G5" s="1" t="str">
        <v>no_collapse</v>
      </c>
      <c r="H5" s="1" t="n">
        <v>32</v>
      </c>
      <c r="I5" s="1" t="n">
        <v>22</v>
      </c>
      <c r="J5" s="1" t="n">
        <v>10</v>
      </c>
      <c r="K5" s="1" t="str">
        <v>S_CHASE, S_GRAPH_GUIDED, S_LAMPS, S_MALGUARD_DSC, S_MALGUARD_USENIX, S_R001, S_R002, S_R004, S_R005, S_R008, S_R010, S_R012, S_R013, S_R014, S_R015, S_R016, S_R024, S_R032, S_R037, S_R038, S_R039, S_RAG_EVAL</v>
      </c>
      <c r="L5" s="1" t="str">
        <v>S_GENTTP, S_H2GLM, S_MA_MPD, S_R003, S_R017, S_R019, S_R027, S_R029, S_R033, S_SILVER_BULLET</v>
      </c>
      <c r="M5" s="1" t="str">
        <v>C1; C2</v>
      </c>
      <c r="N5" s="1" t="str">
        <v>Peer-reviewed publication or accepted/proceedings-listed report</v>
      </c>
      <c r="O5" s="1" t="str">
        <v>Publication status does not contribute to method scores; family partition affects claim collapsing only.</v>
      </c>
    </row>
    <row r="6" ht="74.0999984741211" customHeight="1">
      <c r="A6" s="1" t="str">
        <v>lenient__equal__peer_reviewed_or_accepted__protocol</v>
      </c>
      <c r="B6" s="1" t="str">
        <v>lenient</v>
      </c>
      <c r="C6" s="1" t="n">
        <v>0.357143</v>
      </c>
      <c r="D6" s="1" t="str">
        <v>equal</v>
      </c>
      <c r="E6" s="1" t="str">
        <v>G=1; T=1; M=1; O=1; U=1; A=1; R=1</v>
      </c>
      <c r="F6" s="1" t="str">
        <v>peer_reviewed_or_accepted</v>
      </c>
      <c r="G6" s="1" t="str">
        <v>protocol</v>
      </c>
      <c r="H6" s="1" t="n">
        <v>30</v>
      </c>
      <c r="I6" s="1" t="n">
        <v>22</v>
      </c>
      <c r="J6" s="1" t="n">
        <v>10</v>
      </c>
      <c r="K6" s="1" t="str">
        <v>S_CHASE, S_GRAPH_GUIDED, S_LAMPS, S_MALGUARD_DSC, S_MALGUARD_USENIX, S_R001, S_R002, S_R004, S_R005, S_R008, S_R010, S_R012, S_R013, S_R014, S_R015, S_R016, S_R024, S_R032, S_R037, S_R038, S_R039, S_RAG_EVAL</v>
      </c>
      <c r="L6" s="1" t="str">
        <v>S_GENTTP, S_H2GLM, S_MA_MPD, S_R003, S_R017, S_R019, S_R027, S_R029, S_R033, S_SILVER_BULLET</v>
      </c>
      <c r="M6" s="1" t="str">
        <v>C1; C2</v>
      </c>
      <c r="N6" s="1" t="str">
        <v>Peer-reviewed publication or accepted/proceedings-listed report</v>
      </c>
      <c r="O6" s="1" t="str">
        <v>Publication status does not contribute to method scores; family partition affects claim collapsing only.</v>
      </c>
    </row>
    <row r="7" ht="74.0999984741211" customHeight="1">
      <c r="A7" s="1" t="str">
        <v>lenient__equal__peer_reviewed_or_accepted__maximal_plausible</v>
      </c>
      <c r="B7" s="1" t="str">
        <v>lenient</v>
      </c>
      <c r="C7" s="1" t="n">
        <v>0.357143</v>
      </c>
      <c r="D7" s="1" t="str">
        <v>equal</v>
      </c>
      <c r="E7" s="1" t="str">
        <v>G=1; T=1; M=1; O=1; U=1; A=1; R=1</v>
      </c>
      <c r="F7" s="1" t="str">
        <v>peer_reviewed_or_accepted</v>
      </c>
      <c r="G7" s="1" t="str">
        <v>maximal_plausible</v>
      </c>
      <c r="H7" s="1" t="n">
        <v>27</v>
      </c>
      <c r="I7" s="1" t="n">
        <v>22</v>
      </c>
      <c r="J7" s="1" t="n">
        <v>10</v>
      </c>
      <c r="K7" s="1" t="str">
        <v>S_CHASE, S_GRAPH_GUIDED, S_LAMPS, S_MALGUARD_DSC, S_MALGUARD_USENIX, S_R001, S_R002, S_R004, S_R005, S_R008, S_R010, S_R012, S_R013, S_R014, S_R015, S_R016, S_R024, S_R032, S_R037, S_R038, S_R039, S_RAG_EVAL</v>
      </c>
      <c r="L7" s="1" t="str">
        <v>S_GENTTP, S_H2GLM, S_MA_MPD, S_R003, S_R017, S_R019, S_R027, S_R029, S_R033, S_SILVER_BULLET</v>
      </c>
      <c r="M7" s="1" t="str">
        <v>C1; C2</v>
      </c>
      <c r="N7" s="1" t="str">
        <v>Peer-reviewed publication or accepted/proceedings-listed report</v>
      </c>
      <c r="O7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8" ht="74.0999984741211" customHeight="1">
      <c r="A8" s="1" t="str">
        <v>lenient__core_validity__all_reports__no_collapse</v>
      </c>
      <c r="B8" s="1" t="str">
        <v>lenient</v>
      </c>
      <c r="C8" s="1" t="n">
        <v>0.357143</v>
      </c>
      <c r="D8" s="1" t="str">
        <v>core_validity</v>
      </c>
      <c r="E8" s="1" t="str">
        <v>G=2; T=2; M=2; O=2; U=1; A=1; R=1</v>
      </c>
      <c r="F8" s="1" t="str">
        <v>all_reports</v>
      </c>
      <c r="G8" s="1" t="str">
        <v>no_collapse</v>
      </c>
      <c r="H8" s="1" t="n">
        <v>32</v>
      </c>
      <c r="I8" s="1" t="n">
        <v>31</v>
      </c>
      <c r="J8" s="1" t="n">
        <v>1</v>
      </c>
      <c r="K8" s="1" t="str">
        <v>S_CHASE, S_GENTTP, S_GRAPH_GUIDED, S_H2GLM, S_LAMPS, S_MALGUARD_DSC, S_MALGUARD_USENIX, S_MA_MPD, S_R001, S_R002, S_R003, S_R004, S_R005, S_R008, S_R010, S_R012, S_R013, S_R014, S_R015, S_R016, S_R017, S_R019, S_R024, S_R029, S_R032, S_R033, S_R037, S_R038, S_R039, S_RAG_EVAL, S_SILVER_BULLET</v>
      </c>
      <c r="L8" s="1" t="str">
        <v>S_R027</v>
      </c>
      <c r="M8" s="1" t="str">
        <v>C1; C2</v>
      </c>
      <c r="N8" s="1" t="str">
        <v>None</v>
      </c>
      <c r="O8" s="1" t="str">
        <v>Publication status does not contribute to method scores; family partition affects claim collapsing only.</v>
      </c>
    </row>
    <row r="9" ht="74.0999984741211" customHeight="1">
      <c r="A9" s="1" t="str">
        <v>lenient__core_validity__all_reports__protocol</v>
      </c>
      <c r="B9" s="1" t="str">
        <v>lenient</v>
      </c>
      <c r="C9" s="1" t="n">
        <v>0.357143</v>
      </c>
      <c r="D9" s="1" t="str">
        <v>core_validity</v>
      </c>
      <c r="E9" s="1" t="str">
        <v>G=2; T=2; M=2; O=2; U=1; A=1; R=1</v>
      </c>
      <c r="F9" s="1" t="str">
        <v>all_reports</v>
      </c>
      <c r="G9" s="1" t="str">
        <v>protocol</v>
      </c>
      <c r="H9" s="1" t="n">
        <v>30</v>
      </c>
      <c r="I9" s="1" t="n">
        <v>31</v>
      </c>
      <c r="J9" s="1" t="n">
        <v>1</v>
      </c>
      <c r="K9" s="1" t="str">
        <v>S_CHASE, S_GENTTP, S_GRAPH_GUIDED, S_H2GLM, S_LAMPS, S_MALGUARD_DSC, S_MALGUARD_USENIX, S_MA_MPD, S_R001, S_R002, S_R003, S_R004, S_R005, S_R008, S_R010, S_R012, S_R013, S_R014, S_R015, S_R016, S_R017, S_R019, S_R024, S_R029, S_R032, S_R033, S_R037, S_R038, S_R039, S_RAG_EVAL, S_SILVER_BULLET</v>
      </c>
      <c r="L9" s="1" t="str">
        <v>S_R027</v>
      </c>
      <c r="M9" s="1" t="str">
        <v>C1; C2</v>
      </c>
      <c r="N9" s="1" t="str">
        <v>None</v>
      </c>
      <c r="O9" s="1" t="str">
        <v>Publication status does not contribute to method scores; family partition affects claim collapsing only.</v>
      </c>
    </row>
    <row r="10" ht="74.0999984741211" customHeight="1">
      <c r="A10" s="1" t="str">
        <v>lenient__core_validity__all_reports__maximal_plausible</v>
      </c>
      <c r="B10" s="1" t="str">
        <v>lenient</v>
      </c>
      <c r="C10" s="1" t="n">
        <v>0.357143</v>
      </c>
      <c r="D10" s="1" t="str">
        <v>core_validity</v>
      </c>
      <c r="E10" s="1" t="str">
        <v>G=2; T=2; M=2; O=2; U=1; A=1; R=1</v>
      </c>
      <c r="F10" s="1" t="str">
        <v>all_reports</v>
      </c>
      <c r="G10" s="1" t="str">
        <v>maximal_plausible</v>
      </c>
      <c r="H10" s="1" t="n">
        <v>27</v>
      </c>
      <c r="I10" s="1" t="n">
        <v>31</v>
      </c>
      <c r="J10" s="1" t="n">
        <v>1</v>
      </c>
      <c r="K10" s="1" t="str">
        <v>S_CHASE, S_GENTTP, S_GRAPH_GUIDED, S_H2GLM, S_LAMPS, S_MALGUARD_DSC, S_MALGUARD_USENIX, S_MA_MPD, S_R001, S_R002, S_R003, S_R004, S_R005, S_R008, S_R010, S_R012, S_R013, S_R014, S_R015, S_R016, S_R017, S_R019, S_R024, S_R029, S_R032, S_R033, S_R037, S_R038, S_R039, S_RAG_EVAL, S_SILVER_BULLET</v>
      </c>
      <c r="L10" s="1" t="str">
        <v>S_R027</v>
      </c>
      <c r="M10" s="1" t="str">
        <v>C1; C2</v>
      </c>
      <c r="N10" s="1" t="str">
        <v>None</v>
      </c>
      <c r="O10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11" ht="74.0999984741211" customHeight="1">
      <c r="A11" s="1" t="str">
        <v>lenient__core_validity__peer_reviewed_or_accepted__no_collapse</v>
      </c>
      <c r="B11" s="1" t="str">
        <v>lenient</v>
      </c>
      <c r="C11" s="1" t="n">
        <v>0.357143</v>
      </c>
      <c r="D11" s="1" t="str">
        <v>core_validity</v>
      </c>
      <c r="E11" s="1" t="str">
        <v>G=2; T=2; M=2; O=2; U=1; A=1; R=1</v>
      </c>
      <c r="F11" s="1" t="str">
        <v>peer_reviewed_or_accepted</v>
      </c>
      <c r="G11" s="1" t="str">
        <v>no_collapse</v>
      </c>
      <c r="H11" s="1" t="n">
        <v>32</v>
      </c>
      <c r="I11" s="1" t="n">
        <v>22</v>
      </c>
      <c r="J11" s="1" t="n">
        <v>10</v>
      </c>
      <c r="K11" s="1" t="str">
        <v>S_CHASE, S_GRAPH_GUIDED, S_LAMPS, S_MALGUARD_DSC, S_MALGUARD_USENIX, S_R001, S_R002, S_R004, S_R005, S_R008, S_R010, S_R012, S_R013, S_R014, S_R015, S_R016, S_R024, S_R032, S_R037, S_R038, S_R039, S_RAG_EVAL</v>
      </c>
      <c r="L11" s="1" t="str">
        <v>S_GENTTP, S_H2GLM, S_MA_MPD, S_R003, S_R017, S_R019, S_R027, S_R029, S_R033, S_SILVER_BULLET</v>
      </c>
      <c r="M11" s="1" t="str">
        <v>C1; C2</v>
      </c>
      <c r="N11" s="1" t="str">
        <v>Peer-reviewed publication or accepted/proceedings-listed report</v>
      </c>
      <c r="O11" s="1" t="str">
        <v>Publication status does not contribute to method scores; family partition affects claim collapsing only.</v>
      </c>
    </row>
    <row r="12" ht="74.0999984741211" customHeight="1">
      <c r="A12" s="1" t="str">
        <v>lenient__core_validity__peer_reviewed_or_accepted__protocol</v>
      </c>
      <c r="B12" s="1" t="str">
        <v>lenient</v>
      </c>
      <c r="C12" s="1" t="n">
        <v>0.357143</v>
      </c>
      <c r="D12" s="1" t="str">
        <v>core_validity</v>
      </c>
      <c r="E12" s="1" t="str">
        <v>G=2; T=2; M=2; O=2; U=1; A=1; R=1</v>
      </c>
      <c r="F12" s="1" t="str">
        <v>peer_reviewed_or_accepted</v>
      </c>
      <c r="G12" s="1" t="str">
        <v>protocol</v>
      </c>
      <c r="H12" s="1" t="n">
        <v>30</v>
      </c>
      <c r="I12" s="1" t="n">
        <v>22</v>
      </c>
      <c r="J12" s="1" t="n">
        <v>10</v>
      </c>
      <c r="K12" s="1" t="str">
        <v>S_CHASE, S_GRAPH_GUIDED, S_LAMPS, S_MALGUARD_DSC, S_MALGUARD_USENIX, S_R001, S_R002, S_R004, S_R005, S_R008, S_R010, S_R012, S_R013, S_R014, S_R015, S_R016, S_R024, S_R032, S_R037, S_R038, S_R039, S_RAG_EVAL</v>
      </c>
      <c r="L12" s="1" t="str">
        <v>S_GENTTP, S_H2GLM, S_MA_MPD, S_R003, S_R017, S_R019, S_R027, S_R029, S_R033, S_SILVER_BULLET</v>
      </c>
      <c r="M12" s="1" t="str">
        <v>C1; C2</v>
      </c>
      <c r="N12" s="1" t="str">
        <v>Peer-reviewed publication or accepted/proceedings-listed report</v>
      </c>
      <c r="O12" s="1" t="str">
        <v>Publication status does not contribute to method scores; family partition affects claim collapsing only.</v>
      </c>
    </row>
    <row r="13" ht="74.0999984741211" customHeight="1">
      <c r="A13" s="1" t="str">
        <v>lenient__core_validity__peer_reviewed_or_accepted__maximal_plausible</v>
      </c>
      <c r="B13" s="1" t="str">
        <v>lenient</v>
      </c>
      <c r="C13" s="1" t="n">
        <v>0.357143</v>
      </c>
      <c r="D13" s="1" t="str">
        <v>core_validity</v>
      </c>
      <c r="E13" s="1" t="str">
        <v>G=2; T=2; M=2; O=2; U=1; A=1; R=1</v>
      </c>
      <c r="F13" s="1" t="str">
        <v>peer_reviewed_or_accepted</v>
      </c>
      <c r="G13" s="1" t="str">
        <v>maximal_plausible</v>
      </c>
      <c r="H13" s="1" t="n">
        <v>27</v>
      </c>
      <c r="I13" s="1" t="n">
        <v>22</v>
      </c>
      <c r="J13" s="1" t="n">
        <v>10</v>
      </c>
      <c r="K13" s="1" t="str">
        <v>S_CHASE, S_GRAPH_GUIDED, S_LAMPS, S_MALGUARD_DSC, S_MALGUARD_USENIX, S_R001, S_R002, S_R004, S_R005, S_R008, S_R010, S_R012, S_R013, S_R014, S_R015, S_R016, S_R024, S_R032, S_R037, S_R038, S_R039, S_RAG_EVAL</v>
      </c>
      <c r="L13" s="1" t="str">
        <v>S_GENTTP, S_H2GLM, S_MA_MPD, S_R003, S_R017, S_R019, S_R027, S_R029, S_R033, S_SILVER_BULLET</v>
      </c>
      <c r="M13" s="1" t="str">
        <v>C1; C2</v>
      </c>
      <c r="N13" s="1" t="str">
        <v>Peer-reviewed publication or accepted/proceedings-listed report</v>
      </c>
      <c r="O13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14" ht="74.0999984741211" customHeight="1">
      <c r="A14" s="1" t="str">
        <v>lenient__causal_rigor__all_reports__no_collapse</v>
      </c>
      <c r="B14" s="1" t="str">
        <v>lenient</v>
      </c>
      <c r="C14" s="1" t="n">
        <v>0.357143</v>
      </c>
      <c r="D14" s="1" t="str">
        <v>causal_rigor</v>
      </c>
      <c r="E14" s="1" t="str">
        <v>G=2; T=2; M=1; O=1; U=2; A=2; R=1</v>
      </c>
      <c r="F14" s="1" t="str">
        <v>all_reports</v>
      </c>
      <c r="G14" s="1" t="str">
        <v>no_collapse</v>
      </c>
      <c r="H14" s="1" t="n">
        <v>32</v>
      </c>
      <c r="I14" s="1" t="n">
        <v>26</v>
      </c>
      <c r="J14" s="1" t="n">
        <v>6</v>
      </c>
      <c r="K14" s="1" t="s">
        <v>1263</v>
      </c>
      <c r="L14" s="1" t="s">
        <v>1264</v>
      </c>
      <c r="M14" s="1" t="str">
        <v>C1; C2</v>
      </c>
      <c r="N14" s="1" t="str">
        <v>None</v>
      </c>
      <c r="O14" s="1" t="str">
        <v>Publication status does not contribute to method scores; family partition affects claim collapsing only.</v>
      </c>
    </row>
    <row r="15" ht="74.0999984741211" customHeight="1">
      <c r="A15" s="1" t="str">
        <v>lenient__causal_rigor__all_reports__protocol</v>
      </c>
      <c r="B15" s="1" t="str">
        <v>lenient</v>
      </c>
      <c r="C15" s="1" t="n">
        <v>0.357143</v>
      </c>
      <c r="D15" s="1" t="str">
        <v>causal_rigor</v>
      </c>
      <c r="E15" s="1" t="str">
        <v>G=2; T=2; M=1; O=1; U=2; A=2; R=1</v>
      </c>
      <c r="F15" s="1" t="str">
        <v>all_reports</v>
      </c>
      <c r="G15" s="1" t="str">
        <v>protocol</v>
      </c>
      <c r="H15" s="1" t="n">
        <v>30</v>
      </c>
      <c r="I15" s="1" t="n">
        <v>26</v>
      </c>
      <c r="J15" s="1" t="n">
        <v>6</v>
      </c>
      <c r="K15" s="1" t="s">
        <v>1263</v>
      </c>
      <c r="L15" s="1" t="s">
        <v>1264</v>
      </c>
      <c r="M15" s="1" t="str">
        <v>C1; C2</v>
      </c>
      <c r="N15" s="1" t="str">
        <v>None</v>
      </c>
      <c r="O15" s="1" t="str">
        <v>Publication status does not contribute to method scores; family partition affects claim collapsing only.</v>
      </c>
    </row>
    <row r="16" ht="74.0999984741211" customHeight="1">
      <c r="A16" s="1" t="str">
        <v>lenient__causal_rigor__all_reports__maximal_plausible</v>
      </c>
      <c r="B16" s="1" t="str">
        <v>lenient</v>
      </c>
      <c r="C16" s="1" t="n">
        <v>0.357143</v>
      </c>
      <c r="D16" s="1" t="str">
        <v>causal_rigor</v>
      </c>
      <c r="E16" s="1" t="str">
        <v>G=2; T=2; M=1; O=1; U=2; A=2; R=1</v>
      </c>
      <c r="F16" s="1" t="str">
        <v>all_reports</v>
      </c>
      <c r="G16" s="1" t="str">
        <v>maximal_plausible</v>
      </c>
      <c r="H16" s="1" t="n">
        <v>27</v>
      </c>
      <c r="I16" s="1" t="n">
        <v>26</v>
      </c>
      <c r="J16" s="1" t="n">
        <v>6</v>
      </c>
      <c r="K16" s="1" t="s">
        <v>1263</v>
      </c>
      <c r="L16" s="1" t="s">
        <v>1264</v>
      </c>
      <c r="M16" s="1" t="str">
        <v>C1; C2</v>
      </c>
      <c r="N16" s="1" t="str">
        <v>None</v>
      </c>
      <c r="O16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17" ht="74.0999984741211" customHeight="1">
      <c r="A17" s="1" t="str">
        <v>lenient__causal_rigor__peer_reviewed_or_accepted__no_collapse</v>
      </c>
      <c r="B17" s="1" t="str">
        <v>lenient</v>
      </c>
      <c r="C17" s="1" t="n">
        <v>0.357143</v>
      </c>
      <c r="D17" s="1" t="str">
        <v>causal_rigor</v>
      </c>
      <c r="E17" s="1" t="str">
        <v>G=2; T=2; M=1; O=1; U=2; A=2; R=1</v>
      </c>
      <c r="F17" s="1" t="str">
        <v>peer_reviewed_or_accepted</v>
      </c>
      <c r="G17" s="1" t="str">
        <v>no_collapse</v>
      </c>
      <c r="H17" s="1" t="n">
        <v>32</v>
      </c>
      <c r="I17" s="1" t="n">
        <v>19</v>
      </c>
      <c r="J17" s="1" t="n">
        <v>13</v>
      </c>
      <c r="K17" s="1" t="str">
        <v>S_CHASE, S_GRAPH_GUIDED, S_LAMPS, S_MALGUARD_USENIX, S_R001, S_R002, S_R005, S_R010, S_R012, S_R013, S_R014, S_R015, S_R016, S_R024, S_R032, S_R037, S_R038, S_R039, S_RAG_EVAL</v>
      </c>
      <c r="L17" s="1" t="str">
        <v>S_GENTTP, S_H2GLM, S_MALGUARD_DSC, S_MA_MPD, S_R003, S_R004, S_R008, S_R017, S_R019, S_R027, S_R029, S_R033, S_SILVER_BULLET</v>
      </c>
      <c r="M17" s="1" t="str">
        <v>C1; C2</v>
      </c>
      <c r="N17" s="1" t="str">
        <v>Peer-reviewed publication or accepted/proceedings-listed report</v>
      </c>
      <c r="O17" s="1" t="str">
        <v>Publication status does not contribute to method scores; family partition affects claim collapsing only.</v>
      </c>
    </row>
    <row r="18" ht="74.0999984741211" customHeight="1">
      <c r="A18" s="1" t="str">
        <v>lenient__causal_rigor__peer_reviewed_or_accepted__protocol</v>
      </c>
      <c r="B18" s="1" t="str">
        <v>lenient</v>
      </c>
      <c r="C18" s="1" t="n">
        <v>0.357143</v>
      </c>
      <c r="D18" s="1" t="str">
        <v>causal_rigor</v>
      </c>
      <c r="E18" s="1" t="str">
        <v>G=2; T=2; M=1; O=1; U=2; A=2; R=1</v>
      </c>
      <c r="F18" s="1" t="str">
        <v>peer_reviewed_or_accepted</v>
      </c>
      <c r="G18" s="1" t="str">
        <v>protocol</v>
      </c>
      <c r="H18" s="1" t="n">
        <v>30</v>
      </c>
      <c r="I18" s="1" t="n">
        <v>19</v>
      </c>
      <c r="J18" s="1" t="n">
        <v>13</v>
      </c>
      <c r="K18" s="1" t="str">
        <v>S_CHASE, S_GRAPH_GUIDED, S_LAMPS, S_MALGUARD_USENIX, S_R001, S_R002, S_R005, S_R010, S_R012, S_R013, S_R014, S_R015, S_R016, S_R024, S_R032, S_R037, S_R038, S_R039, S_RAG_EVAL</v>
      </c>
      <c r="L18" s="1" t="str">
        <v>S_GENTTP, S_H2GLM, S_MALGUARD_DSC, S_MA_MPD, S_R003, S_R004, S_R008, S_R017, S_R019, S_R027, S_R029, S_R033, S_SILVER_BULLET</v>
      </c>
      <c r="M18" s="1" t="str">
        <v>C1; C2</v>
      </c>
      <c r="N18" s="1" t="str">
        <v>Peer-reviewed publication or accepted/proceedings-listed report</v>
      </c>
      <c r="O18" s="1" t="str">
        <v>Publication status does not contribute to method scores; family partition affects claim collapsing only.</v>
      </c>
    </row>
    <row r="19" ht="74.0999984741211" customHeight="1">
      <c r="A19" s="1" t="str">
        <v>lenient__causal_rigor__peer_reviewed_or_accepted__maximal_plausible</v>
      </c>
      <c r="B19" s="1" t="str">
        <v>lenient</v>
      </c>
      <c r="C19" s="1" t="n">
        <v>0.357143</v>
      </c>
      <c r="D19" s="1" t="str">
        <v>causal_rigor</v>
      </c>
      <c r="E19" s="1" t="str">
        <v>G=2; T=2; M=1; O=1; U=2; A=2; R=1</v>
      </c>
      <c r="F19" s="1" t="str">
        <v>peer_reviewed_or_accepted</v>
      </c>
      <c r="G19" s="1" t="str">
        <v>maximal_plausible</v>
      </c>
      <c r="H19" s="1" t="n">
        <v>27</v>
      </c>
      <c r="I19" s="1" t="n">
        <v>19</v>
      </c>
      <c r="J19" s="1" t="n">
        <v>13</v>
      </c>
      <c r="K19" s="1" t="str">
        <v>S_CHASE, S_GRAPH_GUIDED, S_LAMPS, S_MALGUARD_USENIX, S_R001, S_R002, S_R005, S_R010, S_R012, S_R013, S_R014, S_R015, S_R016, S_R024, S_R032, S_R037, S_R038, S_R039, S_RAG_EVAL</v>
      </c>
      <c r="L19" s="1" t="str">
        <v>S_GENTTP, S_H2GLM, S_MALGUARD_DSC, S_MA_MPD, S_R003, S_R004, S_R008, S_R017, S_R019, S_R027, S_R029, S_R033, S_SILVER_BULLET</v>
      </c>
      <c r="M19" s="1" t="str">
        <v>C1; C2</v>
      </c>
      <c r="N19" s="1" t="str">
        <v>Peer-reviewed publication or accepted/proceedings-listed report</v>
      </c>
      <c r="O19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20" ht="74.0999984741211" customHeight="1">
      <c r="A20" s="1" t="str">
        <v>lenient__reporting_reproducibility__all_reports__no_collapse</v>
      </c>
      <c r="B20" s="1" t="str">
        <v>lenient</v>
      </c>
      <c r="C20" s="1" t="n">
        <v>0.357143</v>
      </c>
      <c r="D20" s="1" t="str">
        <v>reporting_reproducibility</v>
      </c>
      <c r="E20" s="1" t="str">
        <v>G=1; T=1; M=2; O=2; U=2; A=1; R=2</v>
      </c>
      <c r="F20" s="1" t="str">
        <v>all_reports</v>
      </c>
      <c r="G20" s="1" t="str">
        <v>no_collapse</v>
      </c>
      <c r="H20" s="1" t="n">
        <v>32</v>
      </c>
      <c r="I20" s="1" t="n">
        <v>30</v>
      </c>
      <c r="J20" s="1" t="n">
        <v>2</v>
      </c>
      <c r="K20" s="1" t="str">
        <v>S_CHASE, S_GENTTP, S_GRAPH_GUIDED, S_H2GLM, S_LAMPS, S_MALGUARD_DSC, S_MALGUARD_USENIX, S_MA_MPD, S_R001, S_R002, S_R003, S_R004, S_R005, S_R008, S_R010, S_R012, S_R013, S_R014, S_R015, S_R016, S_R017, S_R019, S_R029, S_R032, S_R033, S_R037, S_R038, S_R039, S_RAG_EVAL, S_SILVER_BULLET</v>
      </c>
      <c r="L20" s="1" t="str">
        <v>S_R024, S_R027</v>
      </c>
      <c r="M20" s="1" t="str">
        <v>C1; C2</v>
      </c>
      <c r="N20" s="1" t="str">
        <v>None</v>
      </c>
      <c r="O20" s="1" t="str">
        <v>Publication status does not contribute to method scores; family partition affects claim collapsing only.</v>
      </c>
    </row>
    <row r="21" ht="74.0999984741211" customHeight="1">
      <c r="A21" s="1" t="str">
        <v>lenient__reporting_reproducibility__all_reports__protocol</v>
      </c>
      <c r="B21" s="1" t="str">
        <v>lenient</v>
      </c>
      <c r="C21" s="1" t="n">
        <v>0.357143</v>
      </c>
      <c r="D21" s="1" t="str">
        <v>reporting_reproducibility</v>
      </c>
      <c r="E21" s="1" t="str">
        <v>G=1; T=1; M=2; O=2; U=2; A=1; R=2</v>
      </c>
      <c r="F21" s="1" t="str">
        <v>all_reports</v>
      </c>
      <c r="G21" s="1" t="str">
        <v>protocol</v>
      </c>
      <c r="H21" s="1" t="n">
        <v>30</v>
      </c>
      <c r="I21" s="1" t="n">
        <v>30</v>
      </c>
      <c r="J21" s="1" t="n">
        <v>2</v>
      </c>
      <c r="K21" s="1" t="str">
        <v>S_CHASE, S_GENTTP, S_GRAPH_GUIDED, S_H2GLM, S_LAMPS, S_MALGUARD_DSC, S_MALGUARD_USENIX, S_MA_MPD, S_R001, S_R002, S_R003, S_R004, S_R005, S_R008, S_R010, S_R012, S_R013, S_R014, S_R015, S_R016, S_R017, S_R019, S_R029, S_R032, S_R033, S_R037, S_R038, S_R039, S_RAG_EVAL, S_SILVER_BULLET</v>
      </c>
      <c r="L21" s="1" t="str">
        <v>S_R024, S_R027</v>
      </c>
      <c r="M21" s="1" t="str">
        <v>C1; C2</v>
      </c>
      <c r="N21" s="1" t="str">
        <v>None</v>
      </c>
      <c r="O21" s="1" t="str">
        <v>Publication status does not contribute to method scores; family partition affects claim collapsing only.</v>
      </c>
    </row>
    <row r="22" ht="74.0999984741211" customHeight="1">
      <c r="A22" s="1" t="str">
        <v>lenient__reporting_reproducibility__all_reports__maximal_plausible</v>
      </c>
      <c r="B22" s="1" t="str">
        <v>lenient</v>
      </c>
      <c r="C22" s="1" t="n">
        <v>0.357143</v>
      </c>
      <c r="D22" s="1" t="str">
        <v>reporting_reproducibility</v>
      </c>
      <c r="E22" s="1" t="str">
        <v>G=1; T=1; M=2; O=2; U=2; A=1; R=2</v>
      </c>
      <c r="F22" s="1" t="str">
        <v>all_reports</v>
      </c>
      <c r="G22" s="1" t="str">
        <v>maximal_plausible</v>
      </c>
      <c r="H22" s="1" t="n">
        <v>27</v>
      </c>
      <c r="I22" s="1" t="n">
        <v>30</v>
      </c>
      <c r="J22" s="1" t="n">
        <v>2</v>
      </c>
      <c r="K22" s="1" t="str">
        <v>S_CHASE, S_GENTTP, S_GRAPH_GUIDED, S_H2GLM, S_LAMPS, S_MALGUARD_DSC, S_MALGUARD_USENIX, S_MA_MPD, S_R001, S_R002, S_R003, S_R004, S_R005, S_R008, S_R010, S_R012, S_R013, S_R014, S_R015, S_R016, S_R017, S_R019, S_R029, S_R032, S_R033, S_R037, S_R038, S_R039, S_RAG_EVAL, S_SILVER_BULLET</v>
      </c>
      <c r="L22" s="1" t="str">
        <v>S_R024, S_R027</v>
      </c>
      <c r="M22" s="1" t="str">
        <v>C1; C2</v>
      </c>
      <c r="N22" s="1" t="str">
        <v>None</v>
      </c>
      <c r="O22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23" ht="74.0999984741211" customHeight="1">
      <c r="A23" s="1" t="str">
        <v>lenient__reporting_reproducibility__peer_reviewed_or_accepted__no_collapse</v>
      </c>
      <c r="B23" s="1" t="str">
        <v>lenient</v>
      </c>
      <c r="C23" s="1" t="n">
        <v>0.357143</v>
      </c>
      <c r="D23" s="1" t="str">
        <v>reporting_reproducibility</v>
      </c>
      <c r="E23" s="1" t="str">
        <v>G=1; T=1; M=2; O=2; U=2; A=1; R=2</v>
      </c>
      <c r="F23" s="1" t="str">
        <v>peer_reviewed_or_accepted</v>
      </c>
      <c r="G23" s="1" t="str">
        <v>no_collapse</v>
      </c>
      <c r="H23" s="1" t="n">
        <v>32</v>
      </c>
      <c r="I23" s="1" t="n">
        <v>21</v>
      </c>
      <c r="J23" s="1" t="n">
        <v>11</v>
      </c>
      <c r="K23" s="1" t="str">
        <v>S_CHASE, S_GRAPH_GUIDED, S_LAMPS, S_MALGUARD_DSC, S_MALGUARD_USENIX, S_R001, S_R002, S_R004, S_R005, S_R008, S_R010, S_R012, S_R013, S_R014, S_R015, S_R016, S_R032, S_R037, S_R038, S_R039, S_RAG_EVAL</v>
      </c>
      <c r="L23" s="1" t="str">
        <v>S_GENTTP, S_H2GLM, S_MA_MPD, S_R003, S_R017, S_R019, S_R024, S_R027, S_R029, S_R033, S_SILVER_BULLET</v>
      </c>
      <c r="M23" s="1" t="str">
        <v>C1; C2</v>
      </c>
      <c r="N23" s="1" t="str">
        <v>Peer-reviewed publication or accepted/proceedings-listed report</v>
      </c>
      <c r="O23" s="1" t="str">
        <v>Publication status does not contribute to method scores; family partition affects claim collapsing only.</v>
      </c>
    </row>
    <row r="24" ht="74.0999984741211" customHeight="1">
      <c r="A24" s="1" t="str">
        <v>lenient__reporting_reproducibility__peer_reviewed_or_accepted__protocol</v>
      </c>
      <c r="B24" s="1" t="str">
        <v>lenient</v>
      </c>
      <c r="C24" s="1" t="n">
        <v>0.357143</v>
      </c>
      <c r="D24" s="1" t="str">
        <v>reporting_reproducibility</v>
      </c>
      <c r="E24" s="1" t="str">
        <v>G=1; T=1; M=2; O=2; U=2; A=1; R=2</v>
      </c>
      <c r="F24" s="1" t="str">
        <v>peer_reviewed_or_accepted</v>
      </c>
      <c r="G24" s="1" t="str">
        <v>protocol</v>
      </c>
      <c r="H24" s="1" t="n">
        <v>30</v>
      </c>
      <c r="I24" s="1" t="n">
        <v>21</v>
      </c>
      <c r="J24" s="1" t="n">
        <v>11</v>
      </c>
      <c r="K24" s="1" t="str">
        <v>S_CHASE, S_GRAPH_GUIDED, S_LAMPS, S_MALGUARD_DSC, S_MALGUARD_USENIX, S_R001, S_R002, S_R004, S_R005, S_R008, S_R010, S_R012, S_R013, S_R014, S_R015, S_R016, S_R032, S_R037, S_R038, S_R039, S_RAG_EVAL</v>
      </c>
      <c r="L24" s="1" t="str">
        <v>S_GENTTP, S_H2GLM, S_MA_MPD, S_R003, S_R017, S_R019, S_R024, S_R027, S_R029, S_R033, S_SILVER_BULLET</v>
      </c>
      <c r="M24" s="1" t="str">
        <v>C1; C2</v>
      </c>
      <c r="N24" s="1" t="str">
        <v>Peer-reviewed publication or accepted/proceedings-listed report</v>
      </c>
      <c r="O24" s="1" t="str">
        <v>Publication status does not contribute to method scores; family partition affects claim collapsing only.</v>
      </c>
    </row>
    <row r="25" ht="74.0999984741211" customHeight="1">
      <c r="A25" s="1" t="str">
        <v>lenient__reporting_reproducibility__peer_reviewed_or_accepted__maximal_plausible</v>
      </c>
      <c r="B25" s="1" t="str">
        <v>lenient</v>
      </c>
      <c r="C25" s="1" t="n">
        <v>0.357143</v>
      </c>
      <c r="D25" s="1" t="str">
        <v>reporting_reproducibility</v>
      </c>
      <c r="E25" s="1" t="str">
        <v>G=1; T=1; M=2; O=2; U=2; A=1; R=2</v>
      </c>
      <c r="F25" s="1" t="str">
        <v>peer_reviewed_or_accepted</v>
      </c>
      <c r="G25" s="1" t="str">
        <v>maximal_plausible</v>
      </c>
      <c r="H25" s="1" t="n">
        <v>27</v>
      </c>
      <c r="I25" s="1" t="n">
        <v>21</v>
      </c>
      <c r="J25" s="1" t="n">
        <v>11</v>
      </c>
      <c r="K25" s="1" t="str">
        <v>S_CHASE, S_GRAPH_GUIDED, S_LAMPS, S_MALGUARD_DSC, S_MALGUARD_USENIX, S_R001, S_R002, S_R004, S_R005, S_R008, S_R010, S_R012, S_R013, S_R014, S_R015, S_R016, S_R032, S_R037, S_R038, S_R039, S_RAG_EVAL</v>
      </c>
      <c r="L25" s="1" t="str">
        <v>S_GENTTP, S_H2GLM, S_MA_MPD, S_R003, S_R017, S_R019, S_R024, S_R027, S_R029, S_R033, S_SILVER_BULLET</v>
      </c>
      <c r="M25" s="1" t="str">
        <v>C1; C2</v>
      </c>
      <c r="N25" s="1" t="str">
        <v>Peer-reviewed publication or accepted/proceedings-listed report</v>
      </c>
      <c r="O25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26" ht="74.0999984741211" customHeight="1">
      <c r="A26" s="1" t="str">
        <v>moderate__equal__all_reports__no_collapse</v>
      </c>
      <c r="B26" s="1" t="str">
        <v>moderate</v>
      </c>
      <c r="C26" s="1" t="n">
        <v>0.5</v>
      </c>
      <c r="D26" s="1" t="str">
        <v>equal</v>
      </c>
      <c r="E26" s="1" t="str">
        <v>G=1; T=1; M=1; O=1; U=1; A=1; R=1</v>
      </c>
      <c r="F26" s="1" t="str">
        <v>all_reports</v>
      </c>
      <c r="G26" s="1" t="str">
        <v>no_collapse</v>
      </c>
      <c r="H26" s="1" t="n">
        <v>32</v>
      </c>
      <c r="I26" s="1" t="n">
        <v>21</v>
      </c>
      <c r="J26" s="1" t="n">
        <v>11</v>
      </c>
      <c r="K26" s="1" t="str">
        <v>S_CHASE, S_GENTTP, S_GRAPH_GUIDED, S_H2GLM, S_LAMPS, S_MALGUARD_USENIX, S_MA_MPD, S_R001, S_R002, S_R003, S_R005, S_R010, S_R012, S_R013, S_R014, S_R016, S_R029, S_R032, S_R037, S_R039, S_RAG_EVAL</v>
      </c>
      <c r="L26" s="1" t="str">
        <v>S_MALGUARD_DSC, S_R004, S_R008, S_R015, S_R017, S_R019, S_R024, S_R027, S_R033, S_R038, S_SILVER_BULLET</v>
      </c>
      <c r="M26" s="1" t="str">
        <v>C1; C2</v>
      </c>
      <c r="N26" s="1" t="str">
        <v>None</v>
      </c>
      <c r="O26" s="1" t="str">
        <v>Publication status does not contribute to method scores; family partition affects claim collapsing only.</v>
      </c>
    </row>
    <row r="27" ht="74.0999984741211" customHeight="1">
      <c r="A27" s="1" t="str">
        <v>moderate__equal__all_reports__protocol</v>
      </c>
      <c r="B27" s="1" t="str">
        <v>moderate</v>
      </c>
      <c r="C27" s="1" t="n">
        <v>0.5</v>
      </c>
      <c r="D27" s="1" t="str">
        <v>equal</v>
      </c>
      <c r="E27" s="1" t="str">
        <v>G=1; T=1; M=1; O=1; U=1; A=1; R=1</v>
      </c>
      <c r="F27" s="1" t="str">
        <v>all_reports</v>
      </c>
      <c r="G27" s="1" t="str">
        <v>protocol</v>
      </c>
      <c r="H27" s="1" t="n">
        <v>30</v>
      </c>
      <c r="I27" s="1" t="n">
        <v>21</v>
      </c>
      <c r="J27" s="1" t="n">
        <v>11</v>
      </c>
      <c r="K27" s="1" t="str">
        <v>S_CHASE, S_GENTTP, S_GRAPH_GUIDED, S_H2GLM, S_LAMPS, S_MALGUARD_USENIX, S_MA_MPD, S_R001, S_R002, S_R003, S_R005, S_R010, S_R012, S_R013, S_R014, S_R016, S_R029, S_R032, S_R037, S_R039, S_RAG_EVAL</v>
      </c>
      <c r="L27" s="1" t="str">
        <v>S_MALGUARD_DSC, S_R004, S_R008, S_R015, S_R017, S_R019, S_R024, S_R027, S_R033, S_R038, S_SILVER_BULLET</v>
      </c>
      <c r="M27" s="1" t="str">
        <v>C1; C2</v>
      </c>
      <c r="N27" s="1" t="str">
        <v>None</v>
      </c>
      <c r="O27" s="1" t="str">
        <v>Publication status does not contribute to method scores; family partition affects claim collapsing only.</v>
      </c>
    </row>
    <row r="28" ht="74.0999984741211" customHeight="1">
      <c r="A28" s="1" t="str">
        <v>moderate__equal__all_reports__maximal_plausible</v>
      </c>
      <c r="B28" s="1" t="str">
        <v>moderate</v>
      </c>
      <c r="C28" s="1" t="n">
        <v>0.5</v>
      </c>
      <c r="D28" s="1" t="str">
        <v>equal</v>
      </c>
      <c r="E28" s="1" t="str">
        <v>G=1; T=1; M=1; O=1; U=1; A=1; R=1</v>
      </c>
      <c r="F28" s="1" t="str">
        <v>all_reports</v>
      </c>
      <c r="G28" s="1" t="str">
        <v>maximal_plausible</v>
      </c>
      <c r="H28" s="1" t="n">
        <v>27</v>
      </c>
      <c r="I28" s="1" t="n">
        <v>21</v>
      </c>
      <c r="J28" s="1" t="n">
        <v>11</v>
      </c>
      <c r="K28" s="1" t="str">
        <v>S_CHASE, S_GENTTP, S_GRAPH_GUIDED, S_H2GLM, S_LAMPS, S_MALGUARD_USENIX, S_MA_MPD, S_R001, S_R002, S_R003, S_R005, S_R010, S_R012, S_R013, S_R014, S_R016, S_R029, S_R032, S_R037, S_R039, S_RAG_EVAL</v>
      </c>
      <c r="L28" s="1" t="str">
        <v>S_MALGUARD_DSC, S_R004, S_R008, S_R015, S_R017, S_R019, S_R024, S_R027, S_R033, S_R038, S_SILVER_BULLET</v>
      </c>
      <c r="M28" s="1" t="str">
        <v>C1; C2</v>
      </c>
      <c r="N28" s="1" t="str">
        <v>None</v>
      </c>
      <c r="O28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29" ht="74.0999984741211" customHeight="1">
      <c r="A29" s="1" t="str">
        <v>moderate__equal__peer_reviewed_or_accepted__no_collapse</v>
      </c>
      <c r="B29" s="1" t="str">
        <v>moderate</v>
      </c>
      <c r="C29" s="1" t="n">
        <v>0.5</v>
      </c>
      <c r="D29" s="1" t="str">
        <v>equal</v>
      </c>
      <c r="E29" s="1" t="str">
        <v>G=1; T=1; M=1; O=1; U=1; A=1; R=1</v>
      </c>
      <c r="F29" s="1" t="str">
        <v>peer_reviewed_or_accepted</v>
      </c>
      <c r="G29" s="1" t="str">
        <v>no_collapse</v>
      </c>
      <c r="H29" s="1" t="n">
        <v>32</v>
      </c>
      <c r="I29" s="1" t="n">
        <v>16</v>
      </c>
      <c r="J29" s="1" t="n">
        <v>16</v>
      </c>
      <c r="K29" s="1" t="str">
        <v>S_CHASE, S_GRAPH_GUIDED, S_LAMPS, S_MALGUARD_USENIX, S_R001, S_R002, S_R005, S_R010, S_R012, S_R013, S_R014, S_R016, S_R032, S_R037, S_R039, S_RAG_EVAL</v>
      </c>
      <c r="L29" s="1" t="str">
        <v>S_GENTTP, S_H2GLM, S_MALGUARD_DSC, S_MA_MPD, S_R003, S_R004, S_R008, S_R015, S_R017, S_R019, S_R024, S_R027, S_R029, S_R033, S_R038, S_SILVER_BULLET</v>
      </c>
      <c r="M29" s="1" t="str">
        <v>C1; C2</v>
      </c>
      <c r="N29" s="1" t="str">
        <v>Peer-reviewed publication or accepted/proceedings-listed report</v>
      </c>
      <c r="O29" s="1" t="str">
        <v>Publication status does not contribute to method scores; family partition affects claim collapsing only.</v>
      </c>
    </row>
    <row r="30" ht="74.0999984741211" customHeight="1">
      <c r="A30" s="1" t="str">
        <v>moderate__equal__peer_reviewed_or_accepted__protocol</v>
      </c>
      <c r="B30" s="1" t="str">
        <v>moderate</v>
      </c>
      <c r="C30" s="1" t="n">
        <v>0.5</v>
      </c>
      <c r="D30" s="1" t="str">
        <v>equal</v>
      </c>
      <c r="E30" s="1" t="str">
        <v>G=1; T=1; M=1; O=1; U=1; A=1; R=1</v>
      </c>
      <c r="F30" s="1" t="str">
        <v>peer_reviewed_or_accepted</v>
      </c>
      <c r="G30" s="1" t="str">
        <v>protocol</v>
      </c>
      <c r="H30" s="1" t="n">
        <v>30</v>
      </c>
      <c r="I30" s="1" t="n">
        <v>16</v>
      </c>
      <c r="J30" s="1" t="n">
        <v>16</v>
      </c>
      <c r="K30" s="1" t="str">
        <v>S_CHASE, S_GRAPH_GUIDED, S_LAMPS, S_MALGUARD_USENIX, S_R001, S_R002, S_R005, S_R010, S_R012, S_R013, S_R014, S_R016, S_R032, S_R037, S_R039, S_RAG_EVAL</v>
      </c>
      <c r="L30" s="1" t="str">
        <v>S_GENTTP, S_H2GLM, S_MALGUARD_DSC, S_MA_MPD, S_R003, S_R004, S_R008, S_R015, S_R017, S_R019, S_R024, S_R027, S_R029, S_R033, S_R038, S_SILVER_BULLET</v>
      </c>
      <c r="M30" s="1" t="str">
        <v>C1; C2</v>
      </c>
      <c r="N30" s="1" t="str">
        <v>Peer-reviewed publication or accepted/proceedings-listed report</v>
      </c>
      <c r="O30" s="1" t="str">
        <v>Publication status does not contribute to method scores; family partition affects claim collapsing only.</v>
      </c>
    </row>
    <row r="31" ht="74.0999984741211" customHeight="1">
      <c r="A31" s="1" t="str">
        <v>moderate__equal__peer_reviewed_or_accepted__maximal_plausible</v>
      </c>
      <c r="B31" s="1" t="str">
        <v>moderate</v>
      </c>
      <c r="C31" s="1" t="n">
        <v>0.5</v>
      </c>
      <c r="D31" s="1" t="str">
        <v>equal</v>
      </c>
      <c r="E31" s="1" t="str">
        <v>G=1; T=1; M=1; O=1; U=1; A=1; R=1</v>
      </c>
      <c r="F31" s="1" t="str">
        <v>peer_reviewed_or_accepted</v>
      </c>
      <c r="G31" s="1" t="str">
        <v>maximal_plausible</v>
      </c>
      <c r="H31" s="1" t="n">
        <v>27</v>
      </c>
      <c r="I31" s="1" t="n">
        <v>16</v>
      </c>
      <c r="J31" s="1" t="n">
        <v>16</v>
      </c>
      <c r="K31" s="1" t="str">
        <v>S_CHASE, S_GRAPH_GUIDED, S_LAMPS, S_MALGUARD_USENIX, S_R001, S_R002, S_R005, S_R010, S_R012, S_R013, S_R014, S_R016, S_R032, S_R037, S_R039, S_RAG_EVAL</v>
      </c>
      <c r="L31" s="1" t="str">
        <v>S_GENTTP, S_H2GLM, S_MALGUARD_DSC, S_MA_MPD, S_R003, S_R004, S_R008, S_R015, S_R017, S_R019, S_R024, S_R027, S_R029, S_R033, S_R038, S_SILVER_BULLET</v>
      </c>
      <c r="M31" s="1" t="str">
        <v>C1; C2</v>
      </c>
      <c r="N31" s="1" t="str">
        <v>Peer-reviewed publication or accepted/proceedings-listed report</v>
      </c>
      <c r="O31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32" ht="74.0999984741211" customHeight="1">
      <c r="A32" s="1" t="str">
        <v>moderate__core_validity__all_reports__no_collapse</v>
      </c>
      <c r="B32" s="1" t="str">
        <v>moderate</v>
      </c>
      <c r="C32" s="1" t="n">
        <v>0.5</v>
      </c>
      <c r="D32" s="1" t="str">
        <v>core_validity</v>
      </c>
      <c r="E32" s="1" t="str">
        <v>G=2; T=2; M=2; O=2; U=1; A=1; R=1</v>
      </c>
      <c r="F32" s="1" t="str">
        <v>all_reports</v>
      </c>
      <c r="G32" s="1" t="str">
        <v>no_collapse</v>
      </c>
      <c r="H32" s="1" t="n">
        <v>32</v>
      </c>
      <c r="I32" s="1" t="n">
        <v>21</v>
      </c>
      <c r="J32" s="1" t="n">
        <v>11</v>
      </c>
      <c r="K32" s="1" t="str">
        <v>S_CHASE, S_GENTTP, S_GRAPH_GUIDED, S_H2GLM, S_LAMPS, S_MALGUARD_USENIX, S_MA_MPD, S_R001, S_R002, S_R003, S_R005, S_R010, S_R012, S_R013, S_R014, S_R016, S_R029, S_R032, S_R037, S_R039, S_RAG_EVAL</v>
      </c>
      <c r="L32" s="1" t="str">
        <v>S_MALGUARD_DSC, S_R004, S_R008, S_R015, S_R017, S_R019, S_R024, S_R027, S_R033, S_R038, S_SILVER_BULLET</v>
      </c>
      <c r="M32" s="1" t="str">
        <v>C1; C2</v>
      </c>
      <c r="N32" s="1" t="str">
        <v>None</v>
      </c>
      <c r="O32" s="1" t="str">
        <v>Publication status does not contribute to method scores; family partition affects claim collapsing only.</v>
      </c>
    </row>
    <row r="33" ht="74.0999984741211" customHeight="1">
      <c r="A33" s="1" t="str">
        <v>moderate__core_validity__all_reports__protocol</v>
      </c>
      <c r="B33" s="1" t="str">
        <v>moderate</v>
      </c>
      <c r="C33" s="1" t="n">
        <v>0.5</v>
      </c>
      <c r="D33" s="1" t="str">
        <v>core_validity</v>
      </c>
      <c r="E33" s="1" t="str">
        <v>G=2; T=2; M=2; O=2; U=1; A=1; R=1</v>
      </c>
      <c r="F33" s="1" t="str">
        <v>all_reports</v>
      </c>
      <c r="G33" s="1" t="str">
        <v>protocol</v>
      </c>
      <c r="H33" s="1" t="n">
        <v>30</v>
      </c>
      <c r="I33" s="1" t="n">
        <v>21</v>
      </c>
      <c r="J33" s="1" t="n">
        <v>11</v>
      </c>
      <c r="K33" s="1" t="str">
        <v>S_CHASE, S_GENTTP, S_GRAPH_GUIDED, S_H2GLM, S_LAMPS, S_MALGUARD_USENIX, S_MA_MPD, S_R001, S_R002, S_R003, S_R005, S_R010, S_R012, S_R013, S_R014, S_R016, S_R029, S_R032, S_R037, S_R039, S_RAG_EVAL</v>
      </c>
      <c r="L33" s="1" t="str">
        <v>S_MALGUARD_DSC, S_R004, S_R008, S_R015, S_R017, S_R019, S_R024, S_R027, S_R033, S_R038, S_SILVER_BULLET</v>
      </c>
      <c r="M33" s="1" t="str">
        <v>C1; C2</v>
      </c>
      <c r="N33" s="1" t="str">
        <v>None</v>
      </c>
      <c r="O33" s="1" t="str">
        <v>Publication status does not contribute to method scores; family partition affects claim collapsing only.</v>
      </c>
    </row>
    <row r="34" ht="74.0999984741211" customHeight="1">
      <c r="A34" s="1" t="str">
        <v>moderate__core_validity__all_reports__maximal_plausible</v>
      </c>
      <c r="B34" s="1" t="str">
        <v>moderate</v>
      </c>
      <c r="C34" s="1" t="n">
        <v>0.5</v>
      </c>
      <c r="D34" s="1" t="str">
        <v>core_validity</v>
      </c>
      <c r="E34" s="1" t="str">
        <v>G=2; T=2; M=2; O=2; U=1; A=1; R=1</v>
      </c>
      <c r="F34" s="1" t="str">
        <v>all_reports</v>
      </c>
      <c r="G34" s="1" t="str">
        <v>maximal_plausible</v>
      </c>
      <c r="H34" s="1" t="n">
        <v>27</v>
      </c>
      <c r="I34" s="1" t="n">
        <v>21</v>
      </c>
      <c r="J34" s="1" t="n">
        <v>11</v>
      </c>
      <c r="K34" s="1" t="str">
        <v>S_CHASE, S_GENTTP, S_GRAPH_GUIDED, S_H2GLM, S_LAMPS, S_MALGUARD_USENIX, S_MA_MPD, S_R001, S_R002, S_R003, S_R005, S_R010, S_R012, S_R013, S_R014, S_R016, S_R029, S_R032, S_R037, S_R039, S_RAG_EVAL</v>
      </c>
      <c r="L34" s="1" t="str">
        <v>S_MALGUARD_DSC, S_R004, S_R008, S_R015, S_R017, S_R019, S_R024, S_R027, S_R033, S_R038, S_SILVER_BULLET</v>
      </c>
      <c r="M34" s="1" t="str">
        <v>C1; C2</v>
      </c>
      <c r="N34" s="1" t="str">
        <v>None</v>
      </c>
      <c r="O34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35" ht="74.0999984741211" customHeight="1">
      <c r="A35" s="1" t="str">
        <v>moderate__core_validity__peer_reviewed_or_accepted__no_collapse</v>
      </c>
      <c r="B35" s="1" t="str">
        <v>moderate</v>
      </c>
      <c r="C35" s="1" t="n">
        <v>0.5</v>
      </c>
      <c r="D35" s="1" t="str">
        <v>core_validity</v>
      </c>
      <c r="E35" s="1" t="str">
        <v>G=2; T=2; M=2; O=2; U=1; A=1; R=1</v>
      </c>
      <c r="F35" s="1" t="str">
        <v>peer_reviewed_or_accepted</v>
      </c>
      <c r="G35" s="1" t="str">
        <v>no_collapse</v>
      </c>
      <c r="H35" s="1" t="n">
        <v>32</v>
      </c>
      <c r="I35" s="1" t="n">
        <v>16</v>
      </c>
      <c r="J35" s="1" t="n">
        <v>16</v>
      </c>
      <c r="K35" s="1" t="str">
        <v>S_CHASE, S_GRAPH_GUIDED, S_LAMPS, S_MALGUARD_USENIX, S_R001, S_R002, S_R005, S_R010, S_R012, S_R013, S_R014, S_R016, S_R032, S_R037, S_R039, S_RAG_EVAL</v>
      </c>
      <c r="L35" s="1" t="str">
        <v>S_GENTTP, S_H2GLM, S_MALGUARD_DSC, S_MA_MPD, S_R003, S_R004, S_R008, S_R015, S_R017, S_R019, S_R024, S_R027, S_R029, S_R033, S_R038, S_SILVER_BULLET</v>
      </c>
      <c r="M35" s="1" t="str">
        <v>C1; C2</v>
      </c>
      <c r="N35" s="1" t="str">
        <v>Peer-reviewed publication or accepted/proceedings-listed report</v>
      </c>
      <c r="O35" s="1" t="str">
        <v>Publication status does not contribute to method scores; family partition affects claim collapsing only.</v>
      </c>
    </row>
    <row r="36" ht="74.0999984741211" customHeight="1">
      <c r="A36" s="1" t="str">
        <v>moderate__core_validity__peer_reviewed_or_accepted__protocol</v>
      </c>
      <c r="B36" s="1" t="str">
        <v>moderate</v>
      </c>
      <c r="C36" s="1" t="n">
        <v>0.5</v>
      </c>
      <c r="D36" s="1" t="str">
        <v>core_validity</v>
      </c>
      <c r="E36" s="1" t="str">
        <v>G=2; T=2; M=2; O=2; U=1; A=1; R=1</v>
      </c>
      <c r="F36" s="1" t="str">
        <v>peer_reviewed_or_accepted</v>
      </c>
      <c r="G36" s="1" t="str">
        <v>protocol</v>
      </c>
      <c r="H36" s="1" t="n">
        <v>30</v>
      </c>
      <c r="I36" s="1" t="n">
        <v>16</v>
      </c>
      <c r="J36" s="1" t="n">
        <v>16</v>
      </c>
      <c r="K36" s="1" t="str">
        <v>S_CHASE, S_GRAPH_GUIDED, S_LAMPS, S_MALGUARD_USENIX, S_R001, S_R002, S_R005, S_R010, S_R012, S_R013, S_R014, S_R016, S_R032, S_R037, S_R039, S_RAG_EVAL</v>
      </c>
      <c r="L36" s="1" t="str">
        <v>S_GENTTP, S_H2GLM, S_MALGUARD_DSC, S_MA_MPD, S_R003, S_R004, S_R008, S_R015, S_R017, S_R019, S_R024, S_R027, S_R029, S_R033, S_R038, S_SILVER_BULLET</v>
      </c>
      <c r="M36" s="1" t="str">
        <v>C1; C2</v>
      </c>
      <c r="N36" s="1" t="str">
        <v>Peer-reviewed publication or accepted/proceedings-listed report</v>
      </c>
      <c r="O36" s="1" t="str">
        <v>Publication status does not contribute to method scores; family partition affects claim collapsing only.</v>
      </c>
    </row>
    <row r="37" ht="74.0999984741211" customHeight="1">
      <c r="A37" s="1" t="str">
        <v>moderate__core_validity__peer_reviewed_or_accepted__maximal_plausible</v>
      </c>
      <c r="B37" s="1" t="str">
        <v>moderate</v>
      </c>
      <c r="C37" s="1" t="n">
        <v>0.5</v>
      </c>
      <c r="D37" s="1" t="str">
        <v>core_validity</v>
      </c>
      <c r="E37" s="1" t="str">
        <v>G=2; T=2; M=2; O=2; U=1; A=1; R=1</v>
      </c>
      <c r="F37" s="1" t="str">
        <v>peer_reviewed_or_accepted</v>
      </c>
      <c r="G37" s="1" t="str">
        <v>maximal_plausible</v>
      </c>
      <c r="H37" s="1" t="n">
        <v>27</v>
      </c>
      <c r="I37" s="1" t="n">
        <v>16</v>
      </c>
      <c r="J37" s="1" t="n">
        <v>16</v>
      </c>
      <c r="K37" s="1" t="str">
        <v>S_CHASE, S_GRAPH_GUIDED, S_LAMPS, S_MALGUARD_USENIX, S_R001, S_R002, S_R005, S_R010, S_R012, S_R013, S_R014, S_R016, S_R032, S_R037, S_R039, S_RAG_EVAL</v>
      </c>
      <c r="L37" s="1" t="str">
        <v>S_GENTTP, S_H2GLM, S_MALGUARD_DSC, S_MA_MPD, S_R003, S_R004, S_R008, S_R015, S_R017, S_R019, S_R024, S_R027, S_R029, S_R033, S_R038, S_SILVER_BULLET</v>
      </c>
      <c r="M37" s="1" t="str">
        <v>C1; C2</v>
      </c>
      <c r="N37" s="1" t="str">
        <v>Peer-reviewed publication or accepted/proceedings-listed report</v>
      </c>
      <c r="O37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38" ht="74.0999984741211" customHeight="1">
      <c r="A38" s="1" t="str">
        <v>moderate__causal_rigor__all_reports__no_collapse</v>
      </c>
      <c r="B38" s="1" t="str">
        <v>moderate</v>
      </c>
      <c r="C38" s="1" t="n">
        <v>0.5</v>
      </c>
      <c r="D38" s="1" t="str">
        <v>causal_rigor</v>
      </c>
      <c r="E38" s="1" t="str">
        <v>G=2; T=2; M=1; O=1; U=2; A=2; R=1</v>
      </c>
      <c r="F38" s="1" t="str">
        <v>all_reports</v>
      </c>
      <c r="G38" s="1" t="str">
        <v>no_collapse</v>
      </c>
      <c r="H38" s="1" t="n">
        <v>32</v>
      </c>
      <c r="I38" s="1" t="n">
        <v>18</v>
      </c>
      <c r="J38" s="1" t="n">
        <v>14</v>
      </c>
      <c r="K38" s="1" t="str">
        <v>S_GENTTP, S_GRAPH_GUIDED, S_H2GLM, S_LAMPS, S_MALGUARD_USENIX, S_R001, S_R003, S_R005, S_R010, S_R012, S_R013, S_R014, S_R016, S_R029, S_R032, S_R037, S_R039, S_RAG_EVAL</v>
      </c>
      <c r="L38" s="1" t="str">
        <v>S_CHASE, S_MALGUARD_DSC, S_MA_MPD, S_R002, S_R004, S_R008, S_R015, S_R017, S_R019, S_R024, S_R027, S_R033, S_R038, S_SILVER_BULLET</v>
      </c>
      <c r="M38" s="1" t="str">
        <v>C1; C2</v>
      </c>
      <c r="N38" s="1" t="str">
        <v>None</v>
      </c>
      <c r="O38" s="1" t="str">
        <v>Publication status does not contribute to method scores; family partition affects claim collapsing only.</v>
      </c>
    </row>
    <row r="39" ht="74.0999984741211" customHeight="1">
      <c r="A39" s="1" t="str">
        <v>moderate__causal_rigor__all_reports__protocol</v>
      </c>
      <c r="B39" s="1" t="str">
        <v>moderate</v>
      </c>
      <c r="C39" s="1" t="n">
        <v>0.5</v>
      </c>
      <c r="D39" s="1" t="str">
        <v>causal_rigor</v>
      </c>
      <c r="E39" s="1" t="str">
        <v>G=2; T=2; M=1; O=1; U=2; A=2; R=1</v>
      </c>
      <c r="F39" s="1" t="str">
        <v>all_reports</v>
      </c>
      <c r="G39" s="1" t="str">
        <v>protocol</v>
      </c>
      <c r="H39" s="1" t="n">
        <v>30</v>
      </c>
      <c r="I39" s="1" t="n">
        <v>18</v>
      </c>
      <c r="J39" s="1" t="n">
        <v>14</v>
      </c>
      <c r="K39" s="1" t="str">
        <v>S_GENTTP, S_GRAPH_GUIDED, S_H2GLM, S_LAMPS, S_MALGUARD_USENIX, S_R001, S_R003, S_R005, S_R010, S_R012, S_R013, S_R014, S_R016, S_R029, S_R032, S_R037, S_R039, S_RAG_EVAL</v>
      </c>
      <c r="L39" s="1" t="str">
        <v>S_CHASE, S_MALGUARD_DSC, S_MA_MPD, S_R002, S_R004, S_R008, S_R015, S_R017, S_R019, S_R024, S_R027, S_R033, S_R038, S_SILVER_BULLET</v>
      </c>
      <c r="M39" s="1" t="str">
        <v>C1; C2</v>
      </c>
      <c r="N39" s="1" t="str">
        <v>None</v>
      </c>
      <c r="O39" s="1" t="str">
        <v>Publication status does not contribute to method scores; family partition affects claim collapsing only.</v>
      </c>
    </row>
    <row r="40" ht="74.0999984741211" customHeight="1">
      <c r="A40" s="1" t="str">
        <v>moderate__causal_rigor__all_reports__maximal_plausible</v>
      </c>
      <c r="B40" s="1" t="str">
        <v>moderate</v>
      </c>
      <c r="C40" s="1" t="n">
        <v>0.5</v>
      </c>
      <c r="D40" s="1" t="str">
        <v>causal_rigor</v>
      </c>
      <c r="E40" s="1" t="str">
        <v>G=2; T=2; M=1; O=1; U=2; A=2; R=1</v>
      </c>
      <c r="F40" s="1" t="str">
        <v>all_reports</v>
      </c>
      <c r="G40" s="1" t="str">
        <v>maximal_plausible</v>
      </c>
      <c r="H40" s="1" t="n">
        <v>27</v>
      </c>
      <c r="I40" s="1" t="n">
        <v>18</v>
      </c>
      <c r="J40" s="1" t="n">
        <v>14</v>
      </c>
      <c r="K40" s="1" t="str">
        <v>S_GENTTP, S_GRAPH_GUIDED, S_H2GLM, S_LAMPS, S_MALGUARD_USENIX, S_R001, S_R003, S_R005, S_R010, S_R012, S_R013, S_R014, S_R016, S_R029, S_R032, S_R037, S_R039, S_RAG_EVAL</v>
      </c>
      <c r="L40" s="1" t="str">
        <v>S_CHASE, S_MALGUARD_DSC, S_MA_MPD, S_R002, S_R004, S_R008, S_R015, S_R017, S_R019, S_R024, S_R027, S_R033, S_R038, S_SILVER_BULLET</v>
      </c>
      <c r="M40" s="1" t="str">
        <v>C1; C2</v>
      </c>
      <c r="N40" s="1" t="str">
        <v>None</v>
      </c>
      <c r="O40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41" ht="74.0999984741211" customHeight="1">
      <c r="A41" s="1" t="str">
        <v>moderate__causal_rigor__peer_reviewed_or_accepted__no_collapse</v>
      </c>
      <c r="B41" s="1" t="str">
        <v>moderate</v>
      </c>
      <c r="C41" s="1" t="n">
        <v>0.5</v>
      </c>
      <c r="D41" s="1" t="str">
        <v>causal_rigor</v>
      </c>
      <c r="E41" s="1" t="str">
        <v>G=2; T=2; M=1; O=1; U=2; A=2; R=1</v>
      </c>
      <c r="F41" s="1" t="str">
        <v>peer_reviewed_or_accepted</v>
      </c>
      <c r="G41" s="1" t="str">
        <v>no_collapse</v>
      </c>
      <c r="H41" s="1" t="n">
        <v>32</v>
      </c>
      <c r="I41" s="1" t="n">
        <v>14</v>
      </c>
      <c r="J41" s="1" t="n">
        <v>18</v>
      </c>
      <c r="K41" s="1" t="str">
        <v>S_GRAPH_GUIDED, S_LAMPS, S_MALGUARD_USENIX, S_R001, S_R005, S_R010, S_R012, S_R013, S_R014, S_R016, S_R032, S_R037, S_R039, S_RAG_EVAL</v>
      </c>
      <c r="L41" s="1" t="str">
        <v>S_CHASE, S_GENTTP, S_H2GLM, S_MALGUARD_DSC, S_MA_MPD, S_R002, S_R003, S_R004, S_R008, S_R015, S_R017, S_R019, S_R024, S_R027, S_R029, S_R033, S_R038, S_SILVER_BULLET</v>
      </c>
      <c r="M41" s="1" t="str">
        <v>C1; C2</v>
      </c>
      <c r="N41" s="1" t="str">
        <v>Peer-reviewed publication or accepted/proceedings-listed report</v>
      </c>
      <c r="O41" s="1" t="str">
        <v>Publication status does not contribute to method scores; family partition affects claim collapsing only.</v>
      </c>
    </row>
    <row r="42" ht="74.0999984741211" customHeight="1">
      <c r="A42" s="1" t="str">
        <v>moderate__causal_rigor__peer_reviewed_or_accepted__protocol</v>
      </c>
      <c r="B42" s="1" t="str">
        <v>moderate</v>
      </c>
      <c r="C42" s="1" t="n">
        <v>0.5</v>
      </c>
      <c r="D42" s="1" t="str">
        <v>causal_rigor</v>
      </c>
      <c r="E42" s="1" t="str">
        <v>G=2; T=2; M=1; O=1; U=2; A=2; R=1</v>
      </c>
      <c r="F42" s="1" t="str">
        <v>peer_reviewed_or_accepted</v>
      </c>
      <c r="G42" s="1" t="str">
        <v>protocol</v>
      </c>
      <c r="H42" s="1" t="n">
        <v>30</v>
      </c>
      <c r="I42" s="1" t="n">
        <v>14</v>
      </c>
      <c r="J42" s="1" t="n">
        <v>18</v>
      </c>
      <c r="K42" s="1" t="str">
        <v>S_GRAPH_GUIDED, S_LAMPS, S_MALGUARD_USENIX, S_R001, S_R005, S_R010, S_R012, S_R013, S_R014, S_R016, S_R032, S_R037, S_R039, S_RAG_EVAL</v>
      </c>
      <c r="L42" s="1" t="str">
        <v>S_CHASE, S_GENTTP, S_H2GLM, S_MALGUARD_DSC, S_MA_MPD, S_R002, S_R003, S_R004, S_R008, S_R015, S_R017, S_R019, S_R024, S_R027, S_R029, S_R033, S_R038, S_SILVER_BULLET</v>
      </c>
      <c r="M42" s="1" t="str">
        <v>C1; C2</v>
      </c>
      <c r="N42" s="1" t="str">
        <v>Peer-reviewed publication or accepted/proceedings-listed report</v>
      </c>
      <c r="O42" s="1" t="str">
        <v>Publication status does not contribute to method scores; family partition affects claim collapsing only.</v>
      </c>
    </row>
    <row r="43" ht="74.0999984741211" customHeight="1">
      <c r="A43" s="1" t="str">
        <v>moderate__causal_rigor__peer_reviewed_or_accepted__maximal_plausible</v>
      </c>
      <c r="B43" s="1" t="str">
        <v>moderate</v>
      </c>
      <c r="C43" s="1" t="n">
        <v>0.5</v>
      </c>
      <c r="D43" s="1" t="str">
        <v>causal_rigor</v>
      </c>
      <c r="E43" s="1" t="str">
        <v>G=2; T=2; M=1; O=1; U=2; A=2; R=1</v>
      </c>
      <c r="F43" s="1" t="str">
        <v>peer_reviewed_or_accepted</v>
      </c>
      <c r="G43" s="1" t="str">
        <v>maximal_plausible</v>
      </c>
      <c r="H43" s="1" t="n">
        <v>27</v>
      </c>
      <c r="I43" s="1" t="n">
        <v>14</v>
      </c>
      <c r="J43" s="1" t="n">
        <v>18</v>
      </c>
      <c r="K43" s="1" t="str">
        <v>S_GRAPH_GUIDED, S_LAMPS, S_MALGUARD_USENIX, S_R001, S_R005, S_R010, S_R012, S_R013, S_R014, S_R016, S_R032, S_R037, S_R039, S_RAG_EVAL</v>
      </c>
      <c r="L43" s="1" t="str">
        <v>S_CHASE, S_GENTTP, S_H2GLM, S_MALGUARD_DSC, S_MA_MPD, S_R002, S_R003, S_R004, S_R008, S_R015, S_R017, S_R019, S_R024, S_R027, S_R029, S_R033, S_R038, S_SILVER_BULLET</v>
      </c>
      <c r="M43" s="1" t="str">
        <v>C1; C2</v>
      </c>
      <c r="N43" s="1" t="str">
        <v>Peer-reviewed publication or accepted/proceedings-listed report</v>
      </c>
      <c r="O43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44" ht="74.0999984741211" customHeight="1">
      <c r="A44" s="1" t="str">
        <v>moderate__reporting_reproducibility__all_reports__no_collapse</v>
      </c>
      <c r="B44" s="1" t="str">
        <v>moderate</v>
      </c>
      <c r="C44" s="1" t="n">
        <v>0.5</v>
      </c>
      <c r="D44" s="1" t="str">
        <v>reporting_reproducibility</v>
      </c>
      <c r="E44" s="1" t="str">
        <v>G=1; T=1; M=2; O=2; U=2; A=1; R=2</v>
      </c>
      <c r="F44" s="1" t="str">
        <v>all_reports</v>
      </c>
      <c r="G44" s="1" t="str">
        <v>no_collapse</v>
      </c>
      <c r="H44" s="1" t="n">
        <v>32</v>
      </c>
      <c r="I44" s="1" t="n">
        <v>17</v>
      </c>
      <c r="J44" s="1" t="n">
        <v>15</v>
      </c>
      <c r="K44" s="1" t="str">
        <v>S_CHASE, S_GENTTP, S_GRAPH_GUIDED, S_LAMPS, S_MALGUARD_USENIX, S_MA_MPD, S_R001, S_R002, S_R005, S_R012, S_R013, S_R014, S_R029, S_R032, S_R037, S_R039, S_RAG_EVAL</v>
      </c>
      <c r="L44" s="1" t="str">
        <v>S_H2GLM, S_MALGUARD_DSC, S_R003, S_R004, S_R008, S_R010, S_R015, S_R016, S_R017, S_R019, S_R024, S_R027, S_R033, S_R038, S_SILVER_BULLET</v>
      </c>
      <c r="M44" s="1" t="str">
        <v>C1; C2</v>
      </c>
      <c r="N44" s="1" t="str">
        <v>None</v>
      </c>
      <c r="O44" s="1" t="str">
        <v>Publication status does not contribute to method scores; family partition affects claim collapsing only.</v>
      </c>
    </row>
    <row r="45" ht="74.0999984741211" customHeight="1">
      <c r="A45" s="1" t="str">
        <v>moderate__reporting_reproducibility__all_reports__protocol</v>
      </c>
      <c r="B45" s="1" t="str">
        <v>moderate</v>
      </c>
      <c r="C45" s="1" t="n">
        <v>0.5</v>
      </c>
      <c r="D45" s="1" t="str">
        <v>reporting_reproducibility</v>
      </c>
      <c r="E45" s="1" t="str">
        <v>G=1; T=1; M=2; O=2; U=2; A=1; R=2</v>
      </c>
      <c r="F45" s="1" t="str">
        <v>all_reports</v>
      </c>
      <c r="G45" s="1" t="str">
        <v>protocol</v>
      </c>
      <c r="H45" s="1" t="n">
        <v>30</v>
      </c>
      <c r="I45" s="1" t="n">
        <v>17</v>
      </c>
      <c r="J45" s="1" t="n">
        <v>15</v>
      </c>
      <c r="K45" s="1" t="str">
        <v>S_CHASE, S_GENTTP, S_GRAPH_GUIDED, S_LAMPS, S_MALGUARD_USENIX, S_MA_MPD, S_R001, S_R002, S_R005, S_R012, S_R013, S_R014, S_R029, S_R032, S_R037, S_R039, S_RAG_EVAL</v>
      </c>
      <c r="L45" s="1" t="str">
        <v>S_H2GLM, S_MALGUARD_DSC, S_R003, S_R004, S_R008, S_R010, S_R015, S_R016, S_R017, S_R019, S_R024, S_R027, S_R033, S_R038, S_SILVER_BULLET</v>
      </c>
      <c r="M45" s="1" t="str">
        <v>C1; C2</v>
      </c>
      <c r="N45" s="1" t="str">
        <v>None</v>
      </c>
      <c r="O45" s="1" t="str">
        <v>Publication status does not contribute to method scores; family partition affects claim collapsing only.</v>
      </c>
    </row>
    <row r="46" ht="74.0999984741211" customHeight="1">
      <c r="A46" s="1" t="str">
        <v>moderate__reporting_reproducibility__all_reports__maximal_plausible</v>
      </c>
      <c r="B46" s="1" t="str">
        <v>moderate</v>
      </c>
      <c r="C46" s="1" t="n">
        <v>0.5</v>
      </c>
      <c r="D46" s="1" t="str">
        <v>reporting_reproducibility</v>
      </c>
      <c r="E46" s="1" t="str">
        <v>G=1; T=1; M=2; O=2; U=2; A=1; R=2</v>
      </c>
      <c r="F46" s="1" t="str">
        <v>all_reports</v>
      </c>
      <c r="G46" s="1" t="str">
        <v>maximal_plausible</v>
      </c>
      <c r="H46" s="1" t="n">
        <v>27</v>
      </c>
      <c r="I46" s="1" t="n">
        <v>17</v>
      </c>
      <c r="J46" s="1" t="n">
        <v>15</v>
      </c>
      <c r="K46" s="1" t="str">
        <v>S_CHASE, S_GENTTP, S_GRAPH_GUIDED, S_LAMPS, S_MALGUARD_USENIX, S_MA_MPD, S_R001, S_R002, S_R005, S_R012, S_R013, S_R014, S_R029, S_R032, S_R037, S_R039, S_RAG_EVAL</v>
      </c>
      <c r="L46" s="1" t="str">
        <v>S_H2GLM, S_MALGUARD_DSC, S_R003, S_R004, S_R008, S_R010, S_R015, S_R016, S_R017, S_R019, S_R024, S_R027, S_R033, S_R038, S_SILVER_BULLET</v>
      </c>
      <c r="M46" s="1" t="str">
        <v>C1; C2</v>
      </c>
      <c r="N46" s="1" t="str">
        <v>None</v>
      </c>
      <c r="O46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47" ht="74.0999984741211" customHeight="1">
      <c r="A47" s="1" t="str">
        <v>moderate__reporting_reproducibility__peer_reviewed_or_accepted__no_collapse</v>
      </c>
      <c r="B47" s="1" t="str">
        <v>moderate</v>
      </c>
      <c r="C47" s="1" t="n">
        <v>0.5</v>
      </c>
      <c r="D47" s="1" t="str">
        <v>reporting_reproducibility</v>
      </c>
      <c r="E47" s="1" t="str">
        <v>G=1; T=1; M=2; O=2; U=2; A=1; R=2</v>
      </c>
      <c r="F47" s="1" t="str">
        <v>peer_reviewed_or_accepted</v>
      </c>
      <c r="G47" s="1" t="str">
        <v>no_collapse</v>
      </c>
      <c r="H47" s="1" t="n">
        <v>32</v>
      </c>
      <c r="I47" s="1" t="n">
        <v>14</v>
      </c>
      <c r="J47" s="1" t="n">
        <v>18</v>
      </c>
      <c r="K47" s="1" t="str">
        <v>S_CHASE, S_GRAPH_GUIDED, S_LAMPS, S_MALGUARD_USENIX, S_R001, S_R002, S_R005, S_R012, S_R013, S_R014, S_R032, S_R037, S_R039, S_RAG_EVAL</v>
      </c>
      <c r="L47" s="1" t="str">
        <v>S_GENTTP, S_H2GLM, S_MALGUARD_DSC, S_MA_MPD, S_R003, S_R004, S_R008, S_R010, S_R015, S_R016, S_R017, S_R019, S_R024, S_R027, S_R029, S_R033, S_R038, S_SILVER_BULLET</v>
      </c>
      <c r="M47" s="1" t="str">
        <v>C1; C2</v>
      </c>
      <c r="N47" s="1" t="str">
        <v>Peer-reviewed publication or accepted/proceedings-listed report</v>
      </c>
      <c r="O47" s="1" t="str">
        <v>Publication status does not contribute to method scores; family partition affects claim collapsing only.</v>
      </c>
    </row>
    <row r="48" ht="74.0999984741211" customHeight="1">
      <c r="A48" s="1" t="str">
        <v>moderate__reporting_reproducibility__peer_reviewed_or_accepted__protocol</v>
      </c>
      <c r="B48" s="1" t="str">
        <v>moderate</v>
      </c>
      <c r="C48" s="1" t="n">
        <v>0.5</v>
      </c>
      <c r="D48" s="1" t="str">
        <v>reporting_reproducibility</v>
      </c>
      <c r="E48" s="1" t="str">
        <v>G=1; T=1; M=2; O=2; U=2; A=1; R=2</v>
      </c>
      <c r="F48" s="1" t="str">
        <v>peer_reviewed_or_accepted</v>
      </c>
      <c r="G48" s="1" t="str">
        <v>protocol</v>
      </c>
      <c r="H48" s="1" t="n">
        <v>30</v>
      </c>
      <c r="I48" s="1" t="n">
        <v>14</v>
      </c>
      <c r="J48" s="1" t="n">
        <v>18</v>
      </c>
      <c r="K48" s="1" t="str">
        <v>S_CHASE, S_GRAPH_GUIDED, S_LAMPS, S_MALGUARD_USENIX, S_R001, S_R002, S_R005, S_R012, S_R013, S_R014, S_R032, S_R037, S_R039, S_RAG_EVAL</v>
      </c>
      <c r="L48" s="1" t="str">
        <v>S_GENTTP, S_H2GLM, S_MALGUARD_DSC, S_MA_MPD, S_R003, S_R004, S_R008, S_R010, S_R015, S_R016, S_R017, S_R019, S_R024, S_R027, S_R029, S_R033, S_R038, S_SILVER_BULLET</v>
      </c>
      <c r="M48" s="1" t="str">
        <v>C1; C2</v>
      </c>
      <c r="N48" s="1" t="str">
        <v>Peer-reviewed publication or accepted/proceedings-listed report</v>
      </c>
      <c r="O48" s="1" t="str">
        <v>Publication status does not contribute to method scores; family partition affects claim collapsing only.</v>
      </c>
    </row>
    <row r="49" ht="74.0999984741211" customHeight="1">
      <c r="A49" s="1" t="str">
        <v>moderate__reporting_reproducibility__peer_reviewed_or_accepted__maximal_plausible</v>
      </c>
      <c r="B49" s="1" t="str">
        <v>moderate</v>
      </c>
      <c r="C49" s="1" t="n">
        <v>0.5</v>
      </c>
      <c r="D49" s="1" t="str">
        <v>reporting_reproducibility</v>
      </c>
      <c r="E49" s="1" t="str">
        <v>G=1; T=1; M=2; O=2; U=2; A=1; R=2</v>
      </c>
      <c r="F49" s="1" t="str">
        <v>peer_reviewed_or_accepted</v>
      </c>
      <c r="G49" s="1" t="str">
        <v>maximal_plausible</v>
      </c>
      <c r="H49" s="1" t="n">
        <v>27</v>
      </c>
      <c r="I49" s="1" t="n">
        <v>14</v>
      </c>
      <c r="J49" s="1" t="n">
        <v>18</v>
      </c>
      <c r="K49" s="1" t="str">
        <v>S_CHASE, S_GRAPH_GUIDED, S_LAMPS, S_MALGUARD_USENIX, S_R001, S_R002, S_R005, S_R012, S_R013, S_R014, S_R032, S_R037, S_R039, S_RAG_EVAL</v>
      </c>
      <c r="L49" s="1" t="str">
        <v>S_GENTTP, S_H2GLM, S_MALGUARD_DSC, S_MA_MPD, S_R003, S_R004, S_R008, S_R010, S_R015, S_R016, S_R017, S_R019, S_R024, S_R027, S_R029, S_R033, S_R038, S_SILVER_BULLET</v>
      </c>
      <c r="M49" s="1" t="str">
        <v>C1; C2</v>
      </c>
      <c r="N49" s="1" t="str">
        <v>Peer-reviewed publication or accepted/proceedings-listed report</v>
      </c>
      <c r="O49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50" ht="74.0999984741211" customHeight="1">
      <c r="A50" s="1" t="str">
        <v>strict__equal__all_reports__no_collapse</v>
      </c>
      <c r="B50" s="1" t="str">
        <v>strict</v>
      </c>
      <c r="C50" s="1" t="n">
        <v>0.642857</v>
      </c>
      <c r="D50" s="1" t="str">
        <v>equal</v>
      </c>
      <c r="E50" s="1" t="str">
        <v>G=1; T=1; M=1; O=1; U=1; A=1; R=1</v>
      </c>
      <c r="F50" s="1" t="str">
        <v>all_reports</v>
      </c>
      <c r="G50" s="1" t="str">
        <v>no_collapse</v>
      </c>
      <c r="H50" s="1" t="n">
        <v>32</v>
      </c>
      <c r="I50" s="1" t="n">
        <v>6</v>
      </c>
      <c r="J50" s="1" t="n">
        <v>26</v>
      </c>
      <c r="K50" s="1" t="str">
        <v>S_LAMPS, S_MALGUARD_USENIX, S_R012, S_R014, S_R029, S_R037</v>
      </c>
      <c r="L50" s="1" t="str">
        <v>S_CHASE, S_GENTTP, S_GRAPH_GUIDED, S_H2GLM, S_MALGUARD_DSC, S_MA_MPD, S_R001, S_R002, S_R003, S_R004, S_R005, S_R008, S_R010, S_R013, S_R015, S_R016, S_R017, S_R019, S_R024, S_R027, S_R032, S_R033, S_R038, S_R039, S_RAG_EVAL, S_SILVER_BULLET</v>
      </c>
      <c r="M50" s="1" t="str">
        <v>C1; C2</v>
      </c>
      <c r="N50" s="1" t="str">
        <v>None</v>
      </c>
      <c r="O50" s="1" t="str">
        <v>Publication status does not contribute to method scores; family partition affects claim collapsing only.</v>
      </c>
    </row>
    <row r="51" ht="74.0999984741211" customHeight="1">
      <c r="A51" s="1" t="str">
        <v>strict__equal__all_reports__protocol</v>
      </c>
      <c r="B51" s="1" t="str">
        <v>strict</v>
      </c>
      <c r="C51" s="1" t="n">
        <v>0.642857</v>
      </c>
      <c r="D51" s="1" t="str">
        <v>equal</v>
      </c>
      <c r="E51" s="1" t="str">
        <v>G=1; T=1; M=1; O=1; U=1; A=1; R=1</v>
      </c>
      <c r="F51" s="1" t="str">
        <v>all_reports</v>
      </c>
      <c r="G51" s="1" t="str">
        <v>protocol</v>
      </c>
      <c r="H51" s="1" t="n">
        <v>30</v>
      </c>
      <c r="I51" s="1" t="n">
        <v>6</v>
      </c>
      <c r="J51" s="1" t="n">
        <v>26</v>
      </c>
      <c r="K51" s="1" t="str">
        <v>S_LAMPS, S_MALGUARD_USENIX, S_R012, S_R014, S_R029, S_R037</v>
      </c>
      <c r="L51" s="1" t="str">
        <v>S_CHASE, S_GENTTP, S_GRAPH_GUIDED, S_H2GLM, S_MALGUARD_DSC, S_MA_MPD, S_R001, S_R002, S_R003, S_R004, S_R005, S_R008, S_R010, S_R013, S_R015, S_R016, S_R017, S_R019, S_R024, S_R027, S_R032, S_R033, S_R038, S_R039, S_RAG_EVAL, S_SILVER_BULLET</v>
      </c>
      <c r="M51" s="1" t="str">
        <v>C1; C2</v>
      </c>
      <c r="N51" s="1" t="str">
        <v>None</v>
      </c>
      <c r="O51" s="1" t="str">
        <v>Publication status does not contribute to method scores; family partition affects claim collapsing only.</v>
      </c>
    </row>
    <row r="52" ht="74.0999984741211" customHeight="1">
      <c r="A52" s="1" t="str">
        <v>strict__equal__all_reports__maximal_plausible</v>
      </c>
      <c r="B52" s="1" t="str">
        <v>strict</v>
      </c>
      <c r="C52" s="1" t="n">
        <v>0.642857</v>
      </c>
      <c r="D52" s="1" t="str">
        <v>equal</v>
      </c>
      <c r="E52" s="1" t="str">
        <v>G=1; T=1; M=1; O=1; U=1; A=1; R=1</v>
      </c>
      <c r="F52" s="1" t="str">
        <v>all_reports</v>
      </c>
      <c r="G52" s="1" t="str">
        <v>maximal_plausible</v>
      </c>
      <c r="H52" s="1" t="n">
        <v>27</v>
      </c>
      <c r="I52" s="1" t="n">
        <v>6</v>
      </c>
      <c r="J52" s="1" t="n">
        <v>26</v>
      </c>
      <c r="K52" s="1" t="str">
        <v>S_LAMPS, S_MALGUARD_USENIX, S_R012, S_R014, S_R029, S_R037</v>
      </c>
      <c r="L52" s="1" t="str">
        <v>S_CHASE, S_GENTTP, S_GRAPH_GUIDED, S_H2GLM, S_MALGUARD_DSC, S_MA_MPD, S_R001, S_R002, S_R003, S_R004, S_R005, S_R008, S_R010, S_R013, S_R015, S_R016, S_R017, S_R019, S_R024, S_R027, S_R032, S_R033, S_R038, S_R039, S_RAG_EVAL, S_SILVER_BULLET</v>
      </c>
      <c r="M52" s="1" t="str">
        <v>C1; C2</v>
      </c>
      <c r="N52" s="1" t="str">
        <v>None</v>
      </c>
      <c r="O52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53" ht="74.0999984741211" customHeight="1">
      <c r="A53" s="1" t="str">
        <v>strict__equal__peer_reviewed_or_accepted__no_collapse</v>
      </c>
      <c r="B53" s="1" t="str">
        <v>strict</v>
      </c>
      <c r="C53" s="1" t="n">
        <v>0.642857</v>
      </c>
      <c r="D53" s="1" t="str">
        <v>equal</v>
      </c>
      <c r="E53" s="1" t="str">
        <v>G=1; T=1; M=1; O=1; U=1; A=1; R=1</v>
      </c>
      <c r="F53" s="1" t="str">
        <v>peer_reviewed_or_accepted</v>
      </c>
      <c r="G53" s="1" t="str">
        <v>no_collapse</v>
      </c>
      <c r="H53" s="1" t="n">
        <v>32</v>
      </c>
      <c r="I53" s="1" t="n">
        <v>5</v>
      </c>
      <c r="J53" s="1" t="n">
        <v>27</v>
      </c>
      <c r="K53" s="1" t="str">
        <v>S_LAMPS, S_MALGUARD_USENIX, S_R012, S_R014, S_R037</v>
      </c>
      <c r="L53" s="1" t="str">
        <v>S_CHASE, S_GENTTP, S_GRAPH_GUIDED, S_H2GLM, S_MALGUARD_DSC, S_MA_MPD, S_R001, S_R002, S_R003, S_R004, S_R005, S_R008, S_R010, S_R013, S_R015, S_R016, S_R017, S_R019, S_R024, S_R027, S_R029, S_R032, S_R033, S_R038, S_R039, S_RAG_EVAL, S_SILVER_BULLET</v>
      </c>
      <c r="M53" s="1" t="str">
        <v>C1; C2</v>
      </c>
      <c r="N53" s="1" t="str">
        <v>Peer-reviewed publication or accepted/proceedings-listed report</v>
      </c>
      <c r="O53" s="1" t="str">
        <v>Publication status does not contribute to method scores; family partition affects claim collapsing only.</v>
      </c>
    </row>
    <row r="54" ht="74.0999984741211" customHeight="1">
      <c r="A54" s="1" t="str">
        <v>strict__equal__peer_reviewed_or_accepted__protocol</v>
      </c>
      <c r="B54" s="1" t="str">
        <v>strict</v>
      </c>
      <c r="C54" s="1" t="n">
        <v>0.642857</v>
      </c>
      <c r="D54" s="1" t="str">
        <v>equal</v>
      </c>
      <c r="E54" s="1" t="str">
        <v>G=1; T=1; M=1; O=1; U=1; A=1; R=1</v>
      </c>
      <c r="F54" s="1" t="str">
        <v>peer_reviewed_or_accepted</v>
      </c>
      <c r="G54" s="1" t="str">
        <v>protocol</v>
      </c>
      <c r="H54" s="1" t="n">
        <v>30</v>
      </c>
      <c r="I54" s="1" t="n">
        <v>5</v>
      </c>
      <c r="J54" s="1" t="n">
        <v>27</v>
      </c>
      <c r="K54" s="1" t="str">
        <v>S_LAMPS, S_MALGUARD_USENIX, S_R012, S_R014, S_R037</v>
      </c>
      <c r="L54" s="1" t="str">
        <v>S_CHASE, S_GENTTP, S_GRAPH_GUIDED, S_H2GLM, S_MALGUARD_DSC, S_MA_MPD, S_R001, S_R002, S_R003, S_R004, S_R005, S_R008, S_R010, S_R013, S_R015, S_R016, S_R017, S_R019, S_R024, S_R027, S_R029, S_R032, S_R033, S_R038, S_R039, S_RAG_EVAL, S_SILVER_BULLET</v>
      </c>
      <c r="M54" s="1" t="str">
        <v>C1; C2</v>
      </c>
      <c r="N54" s="1" t="str">
        <v>Peer-reviewed publication or accepted/proceedings-listed report</v>
      </c>
      <c r="O54" s="1" t="str">
        <v>Publication status does not contribute to method scores; family partition affects claim collapsing only.</v>
      </c>
    </row>
    <row r="55" ht="74.0999984741211" customHeight="1">
      <c r="A55" s="1" t="str">
        <v>strict__equal__peer_reviewed_or_accepted__maximal_plausible</v>
      </c>
      <c r="B55" s="1" t="str">
        <v>strict</v>
      </c>
      <c r="C55" s="1" t="n">
        <v>0.642857</v>
      </c>
      <c r="D55" s="1" t="str">
        <v>equal</v>
      </c>
      <c r="E55" s="1" t="str">
        <v>G=1; T=1; M=1; O=1; U=1; A=1; R=1</v>
      </c>
      <c r="F55" s="1" t="str">
        <v>peer_reviewed_or_accepted</v>
      </c>
      <c r="G55" s="1" t="str">
        <v>maximal_plausible</v>
      </c>
      <c r="H55" s="1" t="n">
        <v>27</v>
      </c>
      <c r="I55" s="1" t="n">
        <v>5</v>
      </c>
      <c r="J55" s="1" t="n">
        <v>27</v>
      </c>
      <c r="K55" s="1" t="str">
        <v>S_LAMPS, S_MALGUARD_USENIX, S_R012, S_R014, S_R037</v>
      </c>
      <c r="L55" s="1" t="str">
        <v>S_CHASE, S_GENTTP, S_GRAPH_GUIDED, S_H2GLM, S_MALGUARD_DSC, S_MA_MPD, S_R001, S_R002, S_R003, S_R004, S_R005, S_R008, S_R010, S_R013, S_R015, S_R016, S_R017, S_R019, S_R024, S_R027, S_R029, S_R032, S_R033, S_R038, S_R039, S_RAG_EVAL, S_SILVER_BULLET</v>
      </c>
      <c r="M55" s="1" t="str">
        <v>C1; C2</v>
      </c>
      <c r="N55" s="1" t="str">
        <v>Peer-reviewed publication or accepted/proceedings-listed report</v>
      </c>
      <c r="O55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56" ht="74.0999984741211" customHeight="1">
      <c r="A56" s="1" t="str">
        <v>strict__core_validity__all_reports__no_collapse</v>
      </c>
      <c r="B56" s="1" t="str">
        <v>strict</v>
      </c>
      <c r="C56" s="1" t="n">
        <v>0.642857</v>
      </c>
      <c r="D56" s="1" t="str">
        <v>core_validity</v>
      </c>
      <c r="E56" s="1" t="str">
        <v>G=2; T=2; M=2; O=2; U=1; A=1; R=1</v>
      </c>
      <c r="F56" s="1" t="str">
        <v>all_reports</v>
      </c>
      <c r="G56" s="1" t="str">
        <v>no_collapse</v>
      </c>
      <c r="H56" s="1" t="n">
        <v>32</v>
      </c>
      <c r="I56" s="1" t="n">
        <v>6</v>
      </c>
      <c r="J56" s="1" t="n">
        <v>26</v>
      </c>
      <c r="K56" s="1" t="str">
        <v>S_LAMPS, S_R012, S_R014, S_R029, S_R032, S_R037</v>
      </c>
      <c r="L56" s="1" t="str">
        <v>S_CHASE, S_GENTTP, S_GRAPH_GUIDED, S_H2GLM, S_MALGUARD_DSC, S_MALGUARD_USENIX, S_MA_MPD, S_R001, S_R002, S_R003, S_R004, S_R005, S_R008, S_R010, S_R013, S_R015, S_R016, S_R017, S_R019, S_R024, S_R027, S_R033, S_R038, S_R039, S_RAG_EVAL, S_SILVER_BULLET</v>
      </c>
      <c r="M56" s="1" t="str">
        <v>C1; C2</v>
      </c>
      <c r="N56" s="1" t="str">
        <v>None</v>
      </c>
      <c r="O56" s="1" t="str">
        <v>Publication status does not contribute to method scores; family partition affects claim collapsing only.</v>
      </c>
    </row>
    <row r="57" ht="74.0999984741211" customHeight="1">
      <c r="A57" s="1" t="str">
        <v>strict__core_validity__all_reports__protocol</v>
      </c>
      <c r="B57" s="1" t="str">
        <v>strict</v>
      </c>
      <c r="C57" s="1" t="n">
        <v>0.642857</v>
      </c>
      <c r="D57" s="1" t="str">
        <v>core_validity</v>
      </c>
      <c r="E57" s="1" t="str">
        <v>G=2; T=2; M=2; O=2; U=1; A=1; R=1</v>
      </c>
      <c r="F57" s="1" t="str">
        <v>all_reports</v>
      </c>
      <c r="G57" s="1" t="str">
        <v>protocol</v>
      </c>
      <c r="H57" s="1" t="n">
        <v>30</v>
      </c>
      <c r="I57" s="1" t="n">
        <v>6</v>
      </c>
      <c r="J57" s="1" t="n">
        <v>26</v>
      </c>
      <c r="K57" s="1" t="str">
        <v>S_LAMPS, S_R012, S_R014, S_R029, S_R032, S_R037</v>
      </c>
      <c r="L57" s="1" t="str">
        <v>S_CHASE, S_GENTTP, S_GRAPH_GUIDED, S_H2GLM, S_MALGUARD_DSC, S_MALGUARD_USENIX, S_MA_MPD, S_R001, S_R002, S_R003, S_R004, S_R005, S_R008, S_R010, S_R013, S_R015, S_R016, S_R017, S_R019, S_R024, S_R027, S_R033, S_R038, S_R039, S_RAG_EVAL, S_SILVER_BULLET</v>
      </c>
      <c r="M57" s="1" t="str">
        <v>C1; C2</v>
      </c>
      <c r="N57" s="1" t="str">
        <v>None</v>
      </c>
      <c r="O57" s="1" t="str">
        <v>Publication status does not contribute to method scores; family partition affects claim collapsing only.</v>
      </c>
    </row>
    <row r="58" ht="74.0999984741211" customHeight="1">
      <c r="A58" s="1" t="str">
        <v>strict__core_validity__all_reports__maximal_plausible</v>
      </c>
      <c r="B58" s="1" t="str">
        <v>strict</v>
      </c>
      <c r="C58" s="1" t="n">
        <v>0.642857</v>
      </c>
      <c r="D58" s="1" t="str">
        <v>core_validity</v>
      </c>
      <c r="E58" s="1" t="str">
        <v>G=2; T=2; M=2; O=2; U=1; A=1; R=1</v>
      </c>
      <c r="F58" s="1" t="str">
        <v>all_reports</v>
      </c>
      <c r="G58" s="1" t="str">
        <v>maximal_plausible</v>
      </c>
      <c r="H58" s="1" t="n">
        <v>27</v>
      </c>
      <c r="I58" s="1" t="n">
        <v>6</v>
      </c>
      <c r="J58" s="1" t="n">
        <v>26</v>
      </c>
      <c r="K58" s="1" t="str">
        <v>S_LAMPS, S_R012, S_R014, S_R029, S_R032, S_R037</v>
      </c>
      <c r="L58" s="1" t="str">
        <v>S_CHASE, S_GENTTP, S_GRAPH_GUIDED, S_H2GLM, S_MALGUARD_DSC, S_MALGUARD_USENIX, S_MA_MPD, S_R001, S_R002, S_R003, S_R004, S_R005, S_R008, S_R010, S_R013, S_R015, S_R016, S_R017, S_R019, S_R024, S_R027, S_R033, S_R038, S_R039, S_RAG_EVAL, S_SILVER_BULLET</v>
      </c>
      <c r="M58" s="1" t="str">
        <v>C1; C2</v>
      </c>
      <c r="N58" s="1" t="str">
        <v>None</v>
      </c>
      <c r="O58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59" ht="74.0999984741211" customHeight="1">
      <c r="A59" s="1" t="str">
        <v>strict__core_validity__peer_reviewed_or_accepted__no_collapse</v>
      </c>
      <c r="B59" s="1" t="str">
        <v>strict</v>
      </c>
      <c r="C59" s="1" t="n">
        <v>0.642857</v>
      </c>
      <c r="D59" s="1" t="str">
        <v>core_validity</v>
      </c>
      <c r="E59" s="1" t="str">
        <v>G=2; T=2; M=2; O=2; U=1; A=1; R=1</v>
      </c>
      <c r="F59" s="1" t="str">
        <v>peer_reviewed_or_accepted</v>
      </c>
      <c r="G59" s="1" t="str">
        <v>no_collapse</v>
      </c>
      <c r="H59" s="1" t="n">
        <v>32</v>
      </c>
      <c r="I59" s="1" t="n">
        <v>5</v>
      </c>
      <c r="J59" s="1" t="n">
        <v>27</v>
      </c>
      <c r="K59" s="1" t="str">
        <v>S_LAMPS, S_R012, S_R014, S_R032, S_R037</v>
      </c>
      <c r="L59" s="1" t="str">
        <v>S_CHASE, S_GENTTP, S_GRAPH_GUIDED, S_H2GLM, S_MALGUARD_DSC, S_MALGUARD_USENIX, S_MA_MPD, S_R001, S_R002, S_R003, S_R004, S_R005, S_R008, S_R010, S_R013, S_R015, S_R016, S_R017, S_R019, S_R024, S_R027, S_R029, S_R033, S_R038, S_R039, S_RAG_EVAL, S_SILVER_BULLET</v>
      </c>
      <c r="M59" s="1" t="str">
        <v>C1; C2</v>
      </c>
      <c r="N59" s="1" t="str">
        <v>Peer-reviewed publication or accepted/proceedings-listed report</v>
      </c>
      <c r="O59" s="1" t="str">
        <v>Publication status does not contribute to method scores; family partition affects claim collapsing only.</v>
      </c>
    </row>
    <row r="60" ht="74.0999984741211" customHeight="1">
      <c r="A60" s="1" t="str">
        <v>strict__core_validity__peer_reviewed_or_accepted__protocol</v>
      </c>
      <c r="B60" s="1" t="str">
        <v>strict</v>
      </c>
      <c r="C60" s="1" t="n">
        <v>0.642857</v>
      </c>
      <c r="D60" s="1" t="str">
        <v>core_validity</v>
      </c>
      <c r="E60" s="1" t="str">
        <v>G=2; T=2; M=2; O=2; U=1; A=1; R=1</v>
      </c>
      <c r="F60" s="1" t="str">
        <v>peer_reviewed_or_accepted</v>
      </c>
      <c r="G60" s="1" t="str">
        <v>protocol</v>
      </c>
      <c r="H60" s="1" t="n">
        <v>30</v>
      </c>
      <c r="I60" s="1" t="n">
        <v>5</v>
      </c>
      <c r="J60" s="1" t="n">
        <v>27</v>
      </c>
      <c r="K60" s="1" t="str">
        <v>S_LAMPS, S_R012, S_R014, S_R032, S_R037</v>
      </c>
      <c r="L60" s="1" t="str">
        <v>S_CHASE, S_GENTTP, S_GRAPH_GUIDED, S_H2GLM, S_MALGUARD_DSC, S_MALGUARD_USENIX, S_MA_MPD, S_R001, S_R002, S_R003, S_R004, S_R005, S_R008, S_R010, S_R013, S_R015, S_R016, S_R017, S_R019, S_R024, S_R027, S_R029, S_R033, S_R038, S_R039, S_RAG_EVAL, S_SILVER_BULLET</v>
      </c>
      <c r="M60" s="1" t="str">
        <v>C1; C2</v>
      </c>
      <c r="N60" s="1" t="str">
        <v>Peer-reviewed publication or accepted/proceedings-listed report</v>
      </c>
      <c r="O60" s="1" t="str">
        <v>Publication status does not contribute to method scores; family partition affects claim collapsing only.</v>
      </c>
    </row>
    <row r="61" ht="74.0999984741211" customHeight="1">
      <c r="A61" s="1" t="str">
        <v>strict__core_validity__peer_reviewed_or_accepted__maximal_plausible</v>
      </c>
      <c r="B61" s="1" t="str">
        <v>strict</v>
      </c>
      <c r="C61" s="1" t="n">
        <v>0.642857</v>
      </c>
      <c r="D61" s="1" t="str">
        <v>core_validity</v>
      </c>
      <c r="E61" s="1" t="str">
        <v>G=2; T=2; M=2; O=2; U=1; A=1; R=1</v>
      </c>
      <c r="F61" s="1" t="str">
        <v>peer_reviewed_or_accepted</v>
      </c>
      <c r="G61" s="1" t="str">
        <v>maximal_plausible</v>
      </c>
      <c r="H61" s="1" t="n">
        <v>27</v>
      </c>
      <c r="I61" s="1" t="n">
        <v>5</v>
      </c>
      <c r="J61" s="1" t="n">
        <v>27</v>
      </c>
      <c r="K61" s="1" t="str">
        <v>S_LAMPS, S_R012, S_R014, S_R032, S_R037</v>
      </c>
      <c r="L61" s="1" t="str">
        <v>S_CHASE, S_GENTTP, S_GRAPH_GUIDED, S_H2GLM, S_MALGUARD_DSC, S_MALGUARD_USENIX, S_MA_MPD, S_R001, S_R002, S_R003, S_R004, S_R005, S_R008, S_R010, S_R013, S_R015, S_R016, S_R017, S_R019, S_R024, S_R027, S_R029, S_R033, S_R038, S_R039, S_RAG_EVAL, S_SILVER_BULLET</v>
      </c>
      <c r="M61" s="1" t="str">
        <v>C1; C2</v>
      </c>
      <c r="N61" s="1" t="str">
        <v>Peer-reviewed publication or accepted/proceedings-listed report</v>
      </c>
      <c r="O61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62" ht="74.0999984741211" customHeight="1">
      <c r="A62" s="1" t="str">
        <v>strict__causal_rigor__all_reports__no_collapse</v>
      </c>
      <c r="B62" s="1" t="str">
        <v>strict</v>
      </c>
      <c r="C62" s="1" t="n">
        <v>0.642857</v>
      </c>
      <c r="D62" s="1" t="str">
        <v>causal_rigor</v>
      </c>
      <c r="E62" s="1" t="str">
        <v>G=2; T=2; M=1; O=1; U=2; A=2; R=1</v>
      </c>
      <c r="F62" s="1" t="str">
        <v>all_reports</v>
      </c>
      <c r="G62" s="1" t="str">
        <v>no_collapse</v>
      </c>
      <c r="H62" s="1" t="n">
        <v>32</v>
      </c>
      <c r="I62" s="1" t="n">
        <v>1</v>
      </c>
      <c r="J62" s="1" t="n">
        <v>31</v>
      </c>
      <c r="K62" s="1" t="str">
        <v>S_LAMPS</v>
      </c>
      <c r="L62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62" s="1" t="str">
        <v>C1; C2</v>
      </c>
      <c r="N62" s="1" t="str">
        <v>None</v>
      </c>
      <c r="O62" s="1" t="str">
        <v>Publication status does not contribute to method scores; family partition affects claim collapsing only.</v>
      </c>
    </row>
    <row r="63" ht="74.0999984741211" customHeight="1">
      <c r="A63" s="1" t="str">
        <v>strict__causal_rigor__all_reports__protocol</v>
      </c>
      <c r="B63" s="1" t="str">
        <v>strict</v>
      </c>
      <c r="C63" s="1" t="n">
        <v>0.642857</v>
      </c>
      <c r="D63" s="1" t="str">
        <v>causal_rigor</v>
      </c>
      <c r="E63" s="1" t="str">
        <v>G=2; T=2; M=1; O=1; U=2; A=2; R=1</v>
      </c>
      <c r="F63" s="1" t="str">
        <v>all_reports</v>
      </c>
      <c r="G63" s="1" t="str">
        <v>protocol</v>
      </c>
      <c r="H63" s="1" t="n">
        <v>30</v>
      </c>
      <c r="I63" s="1" t="n">
        <v>1</v>
      </c>
      <c r="J63" s="1" t="n">
        <v>31</v>
      </c>
      <c r="K63" s="1" t="str">
        <v>S_LAMPS</v>
      </c>
      <c r="L63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63" s="1" t="str">
        <v>C1; C2</v>
      </c>
      <c r="N63" s="1" t="str">
        <v>None</v>
      </c>
      <c r="O63" s="1" t="str">
        <v>Publication status does not contribute to method scores; family partition affects claim collapsing only.</v>
      </c>
    </row>
    <row r="64" ht="74.0999984741211" customHeight="1">
      <c r="A64" s="1" t="str">
        <v>strict__causal_rigor__all_reports__maximal_plausible</v>
      </c>
      <c r="B64" s="1" t="str">
        <v>strict</v>
      </c>
      <c r="C64" s="1" t="n">
        <v>0.642857</v>
      </c>
      <c r="D64" s="1" t="str">
        <v>causal_rigor</v>
      </c>
      <c r="E64" s="1" t="str">
        <v>G=2; T=2; M=1; O=1; U=2; A=2; R=1</v>
      </c>
      <c r="F64" s="1" t="str">
        <v>all_reports</v>
      </c>
      <c r="G64" s="1" t="str">
        <v>maximal_plausible</v>
      </c>
      <c r="H64" s="1" t="n">
        <v>27</v>
      </c>
      <c r="I64" s="1" t="n">
        <v>1</v>
      </c>
      <c r="J64" s="1" t="n">
        <v>31</v>
      </c>
      <c r="K64" s="1" t="str">
        <v>S_LAMPS</v>
      </c>
      <c r="L64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64" s="1" t="str">
        <v>C1; C2</v>
      </c>
      <c r="N64" s="1" t="str">
        <v>None</v>
      </c>
      <c r="O64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65" ht="74.0999984741211" customHeight="1">
      <c r="A65" s="1" t="str">
        <v>strict__causal_rigor__peer_reviewed_or_accepted__no_collapse</v>
      </c>
      <c r="B65" s="1" t="str">
        <v>strict</v>
      </c>
      <c r="C65" s="1" t="n">
        <v>0.642857</v>
      </c>
      <c r="D65" s="1" t="str">
        <v>causal_rigor</v>
      </c>
      <c r="E65" s="1" t="str">
        <v>G=2; T=2; M=1; O=1; U=2; A=2; R=1</v>
      </c>
      <c r="F65" s="1" t="str">
        <v>peer_reviewed_or_accepted</v>
      </c>
      <c r="G65" s="1" t="str">
        <v>no_collapse</v>
      </c>
      <c r="H65" s="1" t="n">
        <v>32</v>
      </c>
      <c r="I65" s="1" t="n">
        <v>1</v>
      </c>
      <c r="J65" s="1" t="n">
        <v>31</v>
      </c>
      <c r="K65" s="1" t="str">
        <v>S_LAMPS</v>
      </c>
      <c r="L65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65" s="1" t="str">
        <v>C1; C2</v>
      </c>
      <c r="N65" s="1" t="str">
        <v>Peer-reviewed publication or accepted/proceedings-listed report</v>
      </c>
      <c r="O65" s="1" t="str">
        <v>Publication status does not contribute to method scores; family partition affects claim collapsing only.</v>
      </c>
    </row>
    <row r="66" ht="74.0999984741211" customHeight="1">
      <c r="A66" s="1" t="str">
        <v>strict__causal_rigor__peer_reviewed_or_accepted__protocol</v>
      </c>
      <c r="B66" s="1" t="str">
        <v>strict</v>
      </c>
      <c r="C66" s="1" t="n">
        <v>0.642857</v>
      </c>
      <c r="D66" s="1" t="str">
        <v>causal_rigor</v>
      </c>
      <c r="E66" s="1" t="str">
        <v>G=2; T=2; M=1; O=1; U=2; A=2; R=1</v>
      </c>
      <c r="F66" s="1" t="str">
        <v>peer_reviewed_or_accepted</v>
      </c>
      <c r="G66" s="1" t="str">
        <v>protocol</v>
      </c>
      <c r="H66" s="1" t="n">
        <v>30</v>
      </c>
      <c r="I66" s="1" t="n">
        <v>1</v>
      </c>
      <c r="J66" s="1" t="n">
        <v>31</v>
      </c>
      <c r="K66" s="1" t="str">
        <v>S_LAMPS</v>
      </c>
      <c r="L66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66" s="1" t="str">
        <v>C1; C2</v>
      </c>
      <c r="N66" s="1" t="str">
        <v>Peer-reviewed publication or accepted/proceedings-listed report</v>
      </c>
      <c r="O66" s="1" t="str">
        <v>Publication status does not contribute to method scores; family partition affects claim collapsing only.</v>
      </c>
    </row>
    <row r="67" ht="74.0999984741211" customHeight="1">
      <c r="A67" s="1" t="str">
        <v>strict__causal_rigor__peer_reviewed_or_accepted__maximal_plausible</v>
      </c>
      <c r="B67" s="1" t="str">
        <v>strict</v>
      </c>
      <c r="C67" s="1" t="n">
        <v>0.642857</v>
      </c>
      <c r="D67" s="1" t="str">
        <v>causal_rigor</v>
      </c>
      <c r="E67" s="1" t="str">
        <v>G=2; T=2; M=1; O=1; U=2; A=2; R=1</v>
      </c>
      <c r="F67" s="1" t="str">
        <v>peer_reviewed_or_accepted</v>
      </c>
      <c r="G67" s="1" t="str">
        <v>maximal_plausible</v>
      </c>
      <c r="H67" s="1" t="n">
        <v>27</v>
      </c>
      <c r="I67" s="1" t="n">
        <v>1</v>
      </c>
      <c r="J67" s="1" t="n">
        <v>31</v>
      </c>
      <c r="K67" s="1" t="str">
        <v>S_LAMPS</v>
      </c>
      <c r="L67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67" s="1" t="str">
        <v>C1; C2</v>
      </c>
      <c r="N67" s="1" t="str">
        <v>Peer-reviewed publication or accepted/proceedings-listed report</v>
      </c>
      <c r="O67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68" ht="74.0999984741211" customHeight="1">
      <c r="A68" s="1" t="str">
        <v>strict__reporting_reproducibility__all_reports__no_collapse</v>
      </c>
      <c r="B68" s="1" t="str">
        <v>strict</v>
      </c>
      <c r="C68" s="1" t="n">
        <v>0.642857</v>
      </c>
      <c r="D68" s="1" t="str">
        <v>reporting_reproducibility</v>
      </c>
      <c r="E68" s="1" t="str">
        <v>G=1; T=1; M=2; O=2; U=2; A=1; R=2</v>
      </c>
      <c r="F68" s="1" t="str">
        <v>all_reports</v>
      </c>
      <c r="G68" s="1" t="str">
        <v>no_collapse</v>
      </c>
      <c r="H68" s="1" t="n">
        <v>32</v>
      </c>
      <c r="I68" s="1" t="n">
        <v>1</v>
      </c>
      <c r="J68" s="1" t="n">
        <v>31</v>
      </c>
      <c r="K68" s="1" t="str">
        <v>S_LAMPS</v>
      </c>
      <c r="L68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68" s="1" t="str">
        <v>C1; C2</v>
      </c>
      <c r="N68" s="1" t="str">
        <v>None</v>
      </c>
      <c r="O68" s="1" t="str">
        <v>Publication status does not contribute to method scores; family partition affects claim collapsing only.</v>
      </c>
    </row>
    <row r="69" ht="74.0999984741211" customHeight="1">
      <c r="A69" s="1" t="str">
        <v>strict__reporting_reproducibility__all_reports__protocol</v>
      </c>
      <c r="B69" s="1" t="str">
        <v>strict</v>
      </c>
      <c r="C69" s="1" t="n">
        <v>0.642857</v>
      </c>
      <c r="D69" s="1" t="str">
        <v>reporting_reproducibility</v>
      </c>
      <c r="E69" s="1" t="str">
        <v>G=1; T=1; M=2; O=2; U=2; A=1; R=2</v>
      </c>
      <c r="F69" s="1" t="str">
        <v>all_reports</v>
      </c>
      <c r="G69" s="1" t="str">
        <v>protocol</v>
      </c>
      <c r="H69" s="1" t="n">
        <v>30</v>
      </c>
      <c r="I69" s="1" t="n">
        <v>1</v>
      </c>
      <c r="J69" s="1" t="n">
        <v>31</v>
      </c>
      <c r="K69" s="1" t="str">
        <v>S_LAMPS</v>
      </c>
      <c r="L69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69" s="1" t="str">
        <v>C1; C2</v>
      </c>
      <c r="N69" s="1" t="str">
        <v>None</v>
      </c>
      <c r="O69" s="1" t="str">
        <v>Publication status does not contribute to method scores; family partition affects claim collapsing only.</v>
      </c>
    </row>
    <row r="70" ht="74.0999984741211" customHeight="1">
      <c r="A70" s="1" t="str">
        <v>strict__reporting_reproducibility__all_reports__maximal_plausible</v>
      </c>
      <c r="B70" s="1" t="str">
        <v>strict</v>
      </c>
      <c r="C70" s="1" t="n">
        <v>0.642857</v>
      </c>
      <c r="D70" s="1" t="str">
        <v>reporting_reproducibility</v>
      </c>
      <c r="E70" s="1" t="str">
        <v>G=1; T=1; M=2; O=2; U=2; A=1; R=2</v>
      </c>
      <c r="F70" s="1" t="str">
        <v>all_reports</v>
      </c>
      <c r="G70" s="1" t="str">
        <v>maximal_plausible</v>
      </c>
      <c r="H70" s="1" t="n">
        <v>27</v>
      </c>
      <c r="I70" s="1" t="n">
        <v>1</v>
      </c>
      <c r="J70" s="1" t="n">
        <v>31</v>
      </c>
      <c r="K70" s="1" t="str">
        <v>S_LAMPS</v>
      </c>
      <c r="L70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70" s="1" t="str">
        <v>C1; C2</v>
      </c>
      <c r="N70" s="1" t="str">
        <v>None</v>
      </c>
      <c r="O70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  <row r="71" ht="74.0999984741211" customHeight="1">
      <c r="A71" s="1" t="str">
        <v>strict__reporting_reproducibility__peer_reviewed_or_accepted__no_collapse</v>
      </c>
      <c r="B71" s="1" t="str">
        <v>strict</v>
      </c>
      <c r="C71" s="1" t="n">
        <v>0.642857</v>
      </c>
      <c r="D71" s="1" t="str">
        <v>reporting_reproducibility</v>
      </c>
      <c r="E71" s="1" t="str">
        <v>G=1; T=1; M=2; O=2; U=2; A=1; R=2</v>
      </c>
      <c r="F71" s="1" t="str">
        <v>peer_reviewed_or_accepted</v>
      </c>
      <c r="G71" s="1" t="str">
        <v>no_collapse</v>
      </c>
      <c r="H71" s="1" t="n">
        <v>32</v>
      </c>
      <c r="I71" s="1" t="n">
        <v>1</v>
      </c>
      <c r="J71" s="1" t="n">
        <v>31</v>
      </c>
      <c r="K71" s="1" t="str">
        <v>S_LAMPS</v>
      </c>
      <c r="L71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71" s="1" t="str">
        <v>C1; C2</v>
      </c>
      <c r="N71" s="1" t="str">
        <v>Peer-reviewed publication or accepted/proceedings-listed report</v>
      </c>
      <c r="O71" s="1" t="str">
        <v>Publication status does not contribute to method scores; family partition affects claim collapsing only.</v>
      </c>
    </row>
    <row r="72" ht="74.0999984741211" customHeight="1">
      <c r="A72" s="1" t="str">
        <v>strict__reporting_reproducibility__peer_reviewed_or_accepted__protocol</v>
      </c>
      <c r="B72" s="1" t="str">
        <v>strict</v>
      </c>
      <c r="C72" s="1" t="n">
        <v>0.642857</v>
      </c>
      <c r="D72" s="1" t="str">
        <v>reporting_reproducibility</v>
      </c>
      <c r="E72" s="1" t="str">
        <v>G=1; T=1; M=2; O=2; U=2; A=1; R=2</v>
      </c>
      <c r="F72" s="1" t="str">
        <v>peer_reviewed_or_accepted</v>
      </c>
      <c r="G72" s="1" t="str">
        <v>protocol</v>
      </c>
      <c r="H72" s="1" t="n">
        <v>30</v>
      </c>
      <c r="I72" s="1" t="n">
        <v>1</v>
      </c>
      <c r="J72" s="1" t="n">
        <v>31</v>
      </c>
      <c r="K72" s="1" t="str">
        <v>S_LAMPS</v>
      </c>
      <c r="L72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72" s="1" t="str">
        <v>C1; C2</v>
      </c>
      <c r="N72" s="1" t="str">
        <v>Peer-reviewed publication or accepted/proceedings-listed report</v>
      </c>
      <c r="O72" s="1" t="str">
        <v>Publication status does not contribute to method scores; family partition affects claim collapsing only.</v>
      </c>
    </row>
    <row r="73" ht="74.0999984741211" customHeight="1">
      <c r="A73" s="1" t="str">
        <v>strict__reporting_reproducibility__peer_reviewed_or_accepted__maximal_plausible</v>
      </c>
      <c r="B73" s="1" t="str">
        <v>strict</v>
      </c>
      <c r="C73" s="1" t="n">
        <v>0.642857</v>
      </c>
      <c r="D73" s="1" t="str">
        <v>reporting_reproducibility</v>
      </c>
      <c r="E73" s="1" t="str">
        <v>G=1; T=1; M=2; O=2; U=2; A=1; R=2</v>
      </c>
      <c r="F73" s="1" t="str">
        <v>peer_reviewed_or_accepted</v>
      </c>
      <c r="G73" s="1" t="str">
        <v>maximal_plausible</v>
      </c>
      <c r="H73" s="1" t="n">
        <v>27</v>
      </c>
      <c r="I73" s="1" t="n">
        <v>1</v>
      </c>
      <c r="J73" s="1" t="n">
        <v>31</v>
      </c>
      <c r="K73" s="1" t="str">
        <v>S_LAMPS</v>
      </c>
      <c r="L73" s="1" t="str">
        <v>S_CHASE, S_GENTTP, S_GRAPH_GUIDED, S_H2GLM, S_MALGUARD_DSC, S_MALGUARD_USENIX, S_MA_MPD, S_R001, S_R002, S_R003, S_R004, S_R005, S_R008, S_R010, S_R012, S_R013, S_R014, S_R015, S_R016, S_R017, S_R019, S_R024, S_R027, S_R029, S_R032, S_R033, S_R037, S_R038, S_R039, S_RAG_EVAL, S_SILVER_BULLET</v>
      </c>
      <c r="M73" s="1" t="str">
        <v>C1; C2</v>
      </c>
      <c r="N73" s="1" t="str">
        <v>Peer-reviewed publication or accepted/proceedings-listed report</v>
      </c>
      <c r="O73" s="1" t="str">
        <v>Publication status does not contribute to method scores; family partition affects claim collapsing only. The maximal-plausible rule provisionally groups otherwise separate studies when overlapping authorship coincides with a closely related package-analysis task or modeling context, although the direct system or version relation required by the documented-family rule is absent. It additionally groups S_SILVER_BULLET with the S_RAG_EVAL/S_MA_MPD/S_LAMPS family, S_H2GLM with S_GRAPH_GUIDED, and S_R015 with S_GENTTP; these are dependence stress assumptions rather than revised lineage claims.</v>
      </c>
    </row>
  </sheetData>
  <pageMargins left="0.7" right="0.7" top="0.75" bottom="0.75" header="0.3" footer="0.3"/>
</worksheet>
</file>